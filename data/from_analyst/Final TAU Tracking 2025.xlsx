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https://tahoeregionalplanning-my.sharepoint.com/personal/kkasman_trpa_org/Documents/FINAL 2026 Cumulative Accounting Details/"/>
    </mc:Choice>
  </mc:AlternateContent>
  <xr:revisionPtr revIDLastSave="0" documentId="8_{FDF0AB4C-EB35-45C9-ADB9-1AF21637CA71}" xr6:coauthVersionLast="47" xr6:coauthVersionMax="47" xr10:uidLastSave="{00000000-0000-0000-0000-000000000000}"/>
  <bookViews>
    <workbookView xWindow="-120" yWindow="-120" windowWidth="29040" windowHeight="15720" firstSheet="1" activeTab="1" xr2:uid="{CB34532E-EB0F-45C4-8706-F42BD040C7A4}"/>
  </bookViews>
  <sheets>
    <sheet name="TAU details" sheetId="1" r:id="rId1"/>
    <sheet name="TAU Summary" sheetId="2" r:id="rId2"/>
  </sheets>
  <definedNames>
    <definedName name="_xlnm._FilterDatabase" localSheetId="0" hidden="1">'TAU details'!$A$1:$P$379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2" l="1"/>
  <c r="C5" i="2" l="1"/>
  <c r="C13" i="2"/>
  <c r="D13" i="2"/>
  <c r="E13" i="2"/>
  <c r="F13" i="2"/>
  <c r="G13" i="2"/>
  <c r="H13" i="2"/>
  <c r="I13" i="2"/>
  <c r="J13" i="2"/>
  <c r="K13" i="2"/>
  <c r="L13" i="2"/>
  <c r="M13" i="2"/>
  <c r="M10" i="2" s="1"/>
  <c r="N13" i="2"/>
  <c r="O13" i="2"/>
  <c r="C21" i="2"/>
  <c r="D21" i="2"/>
  <c r="D10" i="2" s="1"/>
  <c r="E21" i="2"/>
  <c r="F21" i="2"/>
  <c r="G21" i="2"/>
  <c r="H21" i="2"/>
  <c r="I21" i="2"/>
  <c r="J21" i="2"/>
  <c r="K21" i="2"/>
  <c r="M21" i="2"/>
  <c r="N21" i="2"/>
  <c r="S22" i="2"/>
  <c r="O21" i="2"/>
  <c r="D5" i="2"/>
  <c r="E5" i="2"/>
  <c r="F5" i="2"/>
  <c r="G5" i="2"/>
  <c r="H5" i="2"/>
  <c r="I5" i="2"/>
  <c r="J5" i="2"/>
  <c r="K5" i="2"/>
  <c r="L5" i="2"/>
  <c r="M5" i="2"/>
  <c r="N5" i="2"/>
  <c r="O5" i="2"/>
  <c r="B5" i="2"/>
  <c r="S23" i="2"/>
  <c r="S17" i="2"/>
  <c r="S16" i="2"/>
  <c r="S15" i="2"/>
  <c r="C10" i="2" l="1"/>
  <c r="I10" i="2"/>
  <c r="K6" i="2"/>
  <c r="I7" i="2"/>
  <c r="M7" i="2"/>
  <c r="D6" i="2"/>
  <c r="D11" i="2" s="1"/>
  <c r="F7" i="2"/>
  <c r="G7" i="2"/>
  <c r="C6" i="2"/>
  <c r="C11" i="2" s="1"/>
  <c r="J7" i="2"/>
  <c r="H6" i="2"/>
  <c r="E7" i="2"/>
  <c r="O7" i="2"/>
  <c r="L6" i="2"/>
  <c r="C7" i="2"/>
  <c r="D7" i="2"/>
  <c r="G10" i="2"/>
  <c r="F10" i="2"/>
  <c r="E10" i="2"/>
  <c r="J10" i="2"/>
  <c r="H10" i="2"/>
  <c r="S13" i="2"/>
  <c r="K10" i="2"/>
  <c r="O10" i="2"/>
  <c r="N10" i="2"/>
  <c r="L21" i="2"/>
  <c r="N7" i="2"/>
  <c r="F6" i="2"/>
  <c r="G6" i="2"/>
  <c r="E6" i="2"/>
  <c r="S21" i="2"/>
  <c r="I6" i="2"/>
  <c r="M6" i="2"/>
  <c r="M11" i="2" s="1"/>
  <c r="K7" i="2"/>
  <c r="S14" i="2"/>
  <c r="S5" i="2"/>
  <c r="S6" i="2" s="1"/>
  <c r="N6" i="2"/>
  <c r="L7" i="2"/>
  <c r="L10" i="2"/>
  <c r="O6" i="2"/>
  <c r="J6" i="2"/>
  <c r="H7" i="2"/>
  <c r="J11" i="2" l="1"/>
  <c r="I11" i="2"/>
  <c r="F11" i="2"/>
  <c r="G11" i="2"/>
  <c r="E11" i="2"/>
  <c r="K11" i="2"/>
  <c r="H11" i="2"/>
  <c r="O11" i="2"/>
  <c r="N11" i="2"/>
  <c r="L11" i="2"/>
  <c r="S10" i="2"/>
</calcChain>
</file>

<file path=xl/sharedStrings.xml><?xml version="1.0" encoding="utf-8"?>
<sst xmlns="http://schemas.openxmlformats.org/spreadsheetml/2006/main" count="824" uniqueCount="438">
  <si>
    <t>APN</t>
  </si>
  <si>
    <t>Jurisdiction</t>
  </si>
  <si>
    <t>CY2012</t>
  </si>
  <si>
    <t>CY2013</t>
  </si>
  <si>
    <t>CY2014</t>
  </si>
  <si>
    <t>CY2015</t>
  </si>
  <si>
    <t>CY2016</t>
  </si>
  <si>
    <t>CY2017</t>
  </si>
  <si>
    <t>CY2018</t>
  </si>
  <si>
    <t>CY2019</t>
  </si>
  <si>
    <t>CY2020</t>
  </si>
  <si>
    <t>CY2021</t>
  </si>
  <si>
    <t>CY2022</t>
  </si>
  <si>
    <t>CY2023</t>
  </si>
  <si>
    <t>CY2024</t>
  </si>
  <si>
    <t>CY2025</t>
  </si>
  <si>
    <t>015-331-004</t>
  </si>
  <si>
    <t>EL</t>
  </si>
  <si>
    <t>015-331-005</t>
  </si>
  <si>
    <t>015-331-04</t>
  </si>
  <si>
    <t>015-331-05</t>
  </si>
  <si>
    <t>016-041-010</t>
  </si>
  <si>
    <t>016-041-10</t>
  </si>
  <si>
    <t>023-111-037</t>
  </si>
  <si>
    <t>CSLT</t>
  </si>
  <si>
    <t>023-111-046</t>
  </si>
  <si>
    <t>023-111-37</t>
  </si>
  <si>
    <t>023-111-46</t>
  </si>
  <si>
    <t>023-132-004</t>
  </si>
  <si>
    <t>023-132-023</t>
  </si>
  <si>
    <t>023-132-04</t>
  </si>
  <si>
    <t>023-132-23</t>
  </si>
  <si>
    <t>023-141-006</t>
  </si>
  <si>
    <t>023-141-06</t>
  </si>
  <si>
    <t>023-161-005</t>
  </si>
  <si>
    <t>023-161-006</t>
  </si>
  <si>
    <t>023-161-05</t>
  </si>
  <si>
    <t>023-161-06</t>
  </si>
  <si>
    <t>023-211-022</t>
  </si>
  <si>
    <t>023-211-035</t>
  </si>
  <si>
    <t>023-211-041</t>
  </si>
  <si>
    <t>023-211-22</t>
  </si>
  <si>
    <t>023-211-35</t>
  </si>
  <si>
    <t>023-211-41</t>
  </si>
  <si>
    <t>023-251-030</t>
  </si>
  <si>
    <t>023-251-30</t>
  </si>
  <si>
    <t>025-580-007</t>
  </si>
  <si>
    <t>025-580-07</t>
  </si>
  <si>
    <t>026-043-015</t>
  </si>
  <si>
    <t>026-043-15</t>
  </si>
  <si>
    <t>026-084-006</t>
  </si>
  <si>
    <t>026-084-06</t>
  </si>
  <si>
    <t>026-114-026</t>
  </si>
  <si>
    <t>026-114-26</t>
  </si>
  <si>
    <t>027-020-010</t>
  </si>
  <si>
    <t>027-020-017</t>
  </si>
  <si>
    <t>027-020-10</t>
  </si>
  <si>
    <t>027-020-17</t>
  </si>
  <si>
    <t>027-040-033</t>
  </si>
  <si>
    <t>027-040-07</t>
  </si>
  <si>
    <t>027-040-33</t>
  </si>
  <si>
    <t>027-071-029</t>
  </si>
  <si>
    <t>027-071-29</t>
  </si>
  <si>
    <t>027-082-025</t>
  </si>
  <si>
    <t>027-082-25</t>
  </si>
  <si>
    <t>027-083-008</t>
  </si>
  <si>
    <t>027-083-08</t>
  </si>
  <si>
    <t>027-090-025</t>
  </si>
  <si>
    <t>027-090-25</t>
  </si>
  <si>
    <t>027-123-023</t>
  </si>
  <si>
    <t>027-123-23</t>
  </si>
  <si>
    <t>027-170-002</t>
  </si>
  <si>
    <t>027-170-02</t>
  </si>
  <si>
    <t>027-322-019</t>
  </si>
  <si>
    <t>027-322-020</t>
  </si>
  <si>
    <t>027-322-19</t>
  </si>
  <si>
    <t>027-322-20</t>
  </si>
  <si>
    <t>027-350-001</t>
  </si>
  <si>
    <t>027-350-006</t>
  </si>
  <si>
    <t>027-350-01</t>
  </si>
  <si>
    <t>027-350-016</t>
  </si>
  <si>
    <t>027-350-020</t>
  </si>
  <si>
    <t>027-350-024</t>
  </si>
  <si>
    <t>027-350-06</t>
  </si>
  <si>
    <t>027-350-16</t>
  </si>
  <si>
    <t>027-350-20</t>
  </si>
  <si>
    <t>027-350-24</t>
  </si>
  <si>
    <t>027-690-004</t>
  </si>
  <si>
    <t>027-690-04</t>
  </si>
  <si>
    <t>028-081-008</t>
  </si>
  <si>
    <t>028-081-08</t>
  </si>
  <si>
    <t>028-231-001</t>
  </si>
  <si>
    <t>028-231-01</t>
  </si>
  <si>
    <t>029-041-002</t>
  </si>
  <si>
    <t>029-041-009</t>
  </si>
  <si>
    <t>029-041-017</t>
  </si>
  <si>
    <t>029-041-018</t>
  </si>
  <si>
    <t>029-041-02</t>
  </si>
  <si>
    <t>029-041-020</t>
  </si>
  <si>
    <t>029-041-030</t>
  </si>
  <si>
    <t>029-041-041</t>
  </si>
  <si>
    <t>029-041-047</t>
  </si>
  <si>
    <t>029-041-052</t>
  </si>
  <si>
    <t>029-041-055</t>
  </si>
  <si>
    <t>029-041-056</t>
  </si>
  <si>
    <t>029-041-057</t>
  </si>
  <si>
    <t>029-041-060</t>
  </si>
  <si>
    <t>029-041-061</t>
  </si>
  <si>
    <t>029-041-09</t>
  </si>
  <si>
    <t>029-041-17</t>
  </si>
  <si>
    <t>029-041-18</t>
  </si>
  <si>
    <t>029-041-20</t>
  </si>
  <si>
    <t>029-041-30</t>
  </si>
  <si>
    <t>029-041-41</t>
  </si>
  <si>
    <t>029-041-47</t>
  </si>
  <si>
    <t>029-041-52</t>
  </si>
  <si>
    <t>029-041-55</t>
  </si>
  <si>
    <t>029-041-56</t>
  </si>
  <si>
    <t>029-041-57</t>
  </si>
  <si>
    <t>029-041-60</t>
  </si>
  <si>
    <t>029-041-61</t>
  </si>
  <si>
    <t>029-051-001</t>
  </si>
  <si>
    <t>029-051-008</t>
  </si>
  <si>
    <t>029-051-01</t>
  </si>
  <si>
    <t>029-051-010</t>
  </si>
  <si>
    <t>029-051-019</t>
  </si>
  <si>
    <t>029-051-020</t>
  </si>
  <si>
    <t>029-051-021</t>
  </si>
  <si>
    <t>029-051-08</t>
  </si>
  <si>
    <t>029-051-10</t>
  </si>
  <si>
    <t>029-051-19</t>
  </si>
  <si>
    <t>029-051-20</t>
  </si>
  <si>
    <t>029-051-17</t>
  </si>
  <si>
    <t>029-051-21</t>
  </si>
  <si>
    <t>029-052-001</t>
  </si>
  <si>
    <t>029-052-002</t>
  </si>
  <si>
    <t>029-052-003</t>
  </si>
  <si>
    <t>029-052-009</t>
  </si>
  <si>
    <t>029-052-01</t>
  </si>
  <si>
    <t>029-052-013</t>
  </si>
  <si>
    <t>029-052-018</t>
  </si>
  <si>
    <t>029-052-019</t>
  </si>
  <si>
    <t>029-052-02</t>
  </si>
  <si>
    <t>029-052-03</t>
  </si>
  <si>
    <t>029-052-09</t>
  </si>
  <si>
    <t>029-052-13</t>
  </si>
  <si>
    <t>029-052-18</t>
  </si>
  <si>
    <t>029-052-19</t>
  </si>
  <si>
    <t>029-053-008</t>
  </si>
  <si>
    <t>029-053-013</t>
  </si>
  <si>
    <t>029-053-08</t>
  </si>
  <si>
    <t>029-053-13</t>
  </si>
  <si>
    <t>029-063-002</t>
  </si>
  <si>
    <t>029-063-02</t>
  </si>
  <si>
    <t>029-064-004</t>
  </si>
  <si>
    <t>029-064-006</t>
  </si>
  <si>
    <t>029-064-04</t>
  </si>
  <si>
    <t>029-064-06</t>
  </si>
  <si>
    <t>029-065-001</t>
  </si>
  <si>
    <t>029-065-003</t>
  </si>
  <si>
    <t>029-065-004</t>
  </si>
  <si>
    <t>029-065-01</t>
  </si>
  <si>
    <t>029-065-03</t>
  </si>
  <si>
    <t>029-065-04</t>
  </si>
  <si>
    <t>029-081-002</t>
  </si>
  <si>
    <t>029-081-017</t>
  </si>
  <si>
    <t>029-081-018</t>
  </si>
  <si>
    <t>029-081-02</t>
  </si>
  <si>
    <t>029-081-17</t>
  </si>
  <si>
    <t>029-081-18</t>
  </si>
  <si>
    <t>029-082-017</t>
  </si>
  <si>
    <t>029-082-17</t>
  </si>
  <si>
    <t>029-083-020</t>
  </si>
  <si>
    <t>029-083-023</t>
  </si>
  <si>
    <t>029-083-14</t>
  </si>
  <si>
    <t>029-083-16</t>
  </si>
  <si>
    <t>029-083-016</t>
  </si>
  <si>
    <t>029-083-20</t>
  </si>
  <si>
    <t>029-083-22</t>
  </si>
  <si>
    <t>029-095-007</t>
  </si>
  <si>
    <t>029-095-010</t>
  </si>
  <si>
    <t>029-095-07</t>
  </si>
  <si>
    <t>029-095-10</t>
  </si>
  <si>
    <t>029-150-007</t>
  </si>
  <si>
    <t>029-150-010</t>
  </si>
  <si>
    <t>029-150-07</t>
  </si>
  <si>
    <t>029-150-10</t>
  </si>
  <si>
    <t>029-160-003</t>
  </si>
  <si>
    <t>029-160-03</t>
  </si>
  <si>
    <t>029-161-005</t>
  </si>
  <si>
    <t>029-161-023</t>
  </si>
  <si>
    <t>029-161-025</t>
  </si>
  <si>
    <t>029-161-05</t>
  </si>
  <si>
    <t>029-161-23</t>
  </si>
  <si>
    <t>029-161-25</t>
  </si>
  <si>
    <t>029-162-002</t>
  </si>
  <si>
    <t>029-162-007</t>
  </si>
  <si>
    <t>029-162-02</t>
  </si>
  <si>
    <t>029-162-07</t>
  </si>
  <si>
    <t>029-163-013</t>
  </si>
  <si>
    <t>029-163-13</t>
  </si>
  <si>
    <t>029-164-001</t>
  </si>
  <si>
    <t>029-164-01</t>
  </si>
  <si>
    <t>029-190-032</t>
  </si>
  <si>
    <t>029-190-32</t>
  </si>
  <si>
    <t>029-351-001</t>
  </si>
  <si>
    <t>029-351-01</t>
  </si>
  <si>
    <t>029-351-020</t>
  </si>
  <si>
    <t>029-351-20</t>
  </si>
  <si>
    <t>029-352-010</t>
  </si>
  <si>
    <t>029-352-10</t>
  </si>
  <si>
    <t>029-371-016</t>
  </si>
  <si>
    <t>029-371-16</t>
  </si>
  <si>
    <t>029-381-049</t>
  </si>
  <si>
    <t>029-381-49</t>
  </si>
  <si>
    <t>029-441-018</t>
  </si>
  <si>
    <t>029-441-18</t>
  </si>
  <si>
    <t>029-480-004</t>
  </si>
  <si>
    <t>029-480-04</t>
  </si>
  <si>
    <t>029-490-004</t>
  </si>
  <si>
    <t>029-490-04</t>
  </si>
  <si>
    <t>029-602-01</t>
  </si>
  <si>
    <t>029-602-13</t>
  </si>
  <si>
    <t>029-602-013</t>
  </si>
  <si>
    <t>029-610-003</t>
  </si>
  <si>
    <t>029-610-018</t>
  </si>
  <si>
    <t>029-610-021</t>
  </si>
  <si>
    <t>029-610-024</t>
  </si>
  <si>
    <t>029-610-025</t>
  </si>
  <si>
    <t>029-610-03</t>
  </si>
  <si>
    <t>029-610-18</t>
  </si>
  <si>
    <t>029-610-21</t>
  </si>
  <si>
    <t>029-610-24</t>
  </si>
  <si>
    <t>029-610-25</t>
  </si>
  <si>
    <t>029-641-002</t>
  </si>
  <si>
    <t>031-062-001</t>
  </si>
  <si>
    <t>031-062-002</t>
  </si>
  <si>
    <t>031-062-01</t>
  </si>
  <si>
    <t>031-062-02</t>
  </si>
  <si>
    <t>031-072-001</t>
  </si>
  <si>
    <t>031-072-01</t>
  </si>
  <si>
    <t>031-085-021</t>
  </si>
  <si>
    <t>031-085-21</t>
  </si>
  <si>
    <t>031-241-016</t>
  </si>
  <si>
    <t>031-241-017</t>
  </si>
  <si>
    <t>031-241-16</t>
  </si>
  <si>
    <t>031-241-17</t>
  </si>
  <si>
    <t>031-254-031</t>
  </si>
  <si>
    <t>031-254-31</t>
  </si>
  <si>
    <t>031-257-007</t>
  </si>
  <si>
    <t>031-257-07</t>
  </si>
  <si>
    <t>031-290-039</t>
  </si>
  <si>
    <t>031-290-39</t>
  </si>
  <si>
    <t>032-130-008</t>
  </si>
  <si>
    <t>032-130-08</t>
  </si>
  <si>
    <t>032-141-027</t>
  </si>
  <si>
    <t>032-141-03</t>
  </si>
  <si>
    <t>032-141-27</t>
  </si>
  <si>
    <t>032-151-002</t>
  </si>
  <si>
    <t>032-151-02</t>
  </si>
  <si>
    <t>032-191-005</t>
  </si>
  <si>
    <t>032-191-015</t>
  </si>
  <si>
    <t>032-191-05</t>
  </si>
  <si>
    <t>032-191-15</t>
  </si>
  <si>
    <t>032-201-007</t>
  </si>
  <si>
    <t>032-201-018</t>
  </si>
  <si>
    <t>032-201-023</t>
  </si>
  <si>
    <t>032-201-07</t>
  </si>
  <si>
    <t>032-201-18</t>
  </si>
  <si>
    <t>032-201-23</t>
  </si>
  <si>
    <t>032-221-001</t>
  </si>
  <si>
    <t>032-221-003</t>
  </si>
  <si>
    <t>032-221-01</t>
  </si>
  <si>
    <t>032-221-03</t>
  </si>
  <si>
    <t>083-107-009</t>
  </si>
  <si>
    <t>PL</t>
  </si>
  <si>
    <t>084-140-028</t>
  </si>
  <si>
    <t>090-065-010</t>
  </si>
  <si>
    <t>090-071-005</t>
  </si>
  <si>
    <t>090-071-017</t>
  </si>
  <si>
    <t>090-071-033</t>
  </si>
  <si>
    <t>090-073-006</t>
  </si>
  <si>
    <t>090-072-009</t>
  </si>
  <si>
    <t>090-072-027</t>
  </si>
  <si>
    <t>090-072-026</t>
  </si>
  <si>
    <t>090-072-028</t>
  </si>
  <si>
    <t>090-072-029</t>
  </si>
  <si>
    <t>090-074-008</t>
  </si>
  <si>
    <t>090-121-019</t>
  </si>
  <si>
    <t>090-142-007</t>
  </si>
  <si>
    <t>090-142-023</t>
  </si>
  <si>
    <t>090-142-026</t>
  </si>
  <si>
    <t>090-221-002</t>
  </si>
  <si>
    <t>090-222-012</t>
  </si>
  <si>
    <t>090-304-012</t>
  </si>
  <si>
    <t>093-020-016</t>
  </si>
  <si>
    <t>094-070-010</t>
  </si>
  <si>
    <t>094-080-005</t>
  </si>
  <si>
    <t>094-090-001</t>
  </si>
  <si>
    <t>094-110-009</t>
  </si>
  <si>
    <t>094-130-004</t>
  </si>
  <si>
    <t>095-481-011</t>
  </si>
  <si>
    <t>097-083-013</t>
  </si>
  <si>
    <t>097-121-011</t>
  </si>
  <si>
    <t>097-130-031</t>
  </si>
  <si>
    <t>097-140-031</t>
  </si>
  <si>
    <t>097-153-001</t>
  </si>
  <si>
    <t>098-200-024</t>
  </si>
  <si>
    <t>098-200-027</t>
  </si>
  <si>
    <t>098-210-024</t>
  </si>
  <si>
    <t>098-360-007</t>
  </si>
  <si>
    <t>098-210-030</t>
  </si>
  <si>
    <t>115-030-097</t>
  </si>
  <si>
    <t>115-040-046</t>
  </si>
  <si>
    <t>115-040-050</t>
  </si>
  <si>
    <t>117-071-004</t>
  </si>
  <si>
    <t>117-071-005</t>
  </si>
  <si>
    <t>117-071-006</t>
  </si>
  <si>
    <t>117-071-008</t>
  </si>
  <si>
    <t>117-071-012</t>
  </si>
  <si>
    <t>117-071-013</t>
  </si>
  <si>
    <t>117-071-015</t>
  </si>
  <si>
    <t>117-071-029</t>
  </si>
  <si>
    <t>117-071-042</t>
  </si>
  <si>
    <t>117-071-053</t>
  </si>
  <si>
    <t>117-072-003</t>
  </si>
  <si>
    <t>117-072-004</t>
  </si>
  <si>
    <t>117-072-007</t>
  </si>
  <si>
    <t>117-072-013</t>
  </si>
  <si>
    <t>117-080-065</t>
  </si>
  <si>
    <t>117-100-023</t>
  </si>
  <si>
    <t>117-110-008</t>
  </si>
  <si>
    <t>117-110-019</t>
  </si>
  <si>
    <t>117-110-070</t>
  </si>
  <si>
    <t>117-130-010</t>
  </si>
  <si>
    <t>117-130-016</t>
  </si>
  <si>
    <t>117-140-006</t>
  </si>
  <si>
    <t>117-140-008</t>
  </si>
  <si>
    <t>117-150-040</t>
  </si>
  <si>
    <t>117-150-048</t>
  </si>
  <si>
    <t>117-240-022</t>
  </si>
  <si>
    <t>123-031-01</t>
  </si>
  <si>
    <t>WA</t>
  </si>
  <si>
    <t>123-042-01</t>
  </si>
  <si>
    <t>123-042-15</t>
  </si>
  <si>
    <t>123-052-04</t>
  </si>
  <si>
    <t>123-052-02</t>
  </si>
  <si>
    <t>126-280-00</t>
  </si>
  <si>
    <t>127-010-09</t>
  </si>
  <si>
    <t>127-030-38</t>
  </si>
  <si>
    <t>127-280-02</t>
  </si>
  <si>
    <t>127-510-01</t>
  </si>
  <si>
    <t>130-163-31</t>
  </si>
  <si>
    <t>131-200-00</t>
  </si>
  <si>
    <t>1318-10-000-002</t>
  </si>
  <si>
    <t>DG</t>
  </si>
  <si>
    <t>1318-10-416-062</t>
  </si>
  <si>
    <t>1318-15-816-000</t>
  </si>
  <si>
    <t>1318-22-002-010</t>
  </si>
  <si>
    <t>1318-22-002-011</t>
  </si>
  <si>
    <t>1318-22-002-012</t>
  </si>
  <si>
    <t>1318-22-002-102</t>
  </si>
  <si>
    <t>1318-22-002-109</t>
  </si>
  <si>
    <t>1318-22-002-113</t>
  </si>
  <si>
    <t>1318-22-002-116</t>
  </si>
  <si>
    <t>1318-26-101-006</t>
  </si>
  <si>
    <t>1318-27-001-007</t>
  </si>
  <si>
    <t>1318-27-001-009</t>
  </si>
  <si>
    <t>1318-27-001-001</t>
  </si>
  <si>
    <t>1318-27-001-016</t>
  </si>
  <si>
    <t>1318-27-001-021</t>
  </si>
  <si>
    <t>1318-27-002-001</t>
  </si>
  <si>
    <t>1318-27-002-002</t>
  </si>
  <si>
    <t>1318-27-002-005</t>
  </si>
  <si>
    <t>1319-19-801-002</t>
  </si>
  <si>
    <t>1319-30-301-003</t>
  </si>
  <si>
    <t>1319-30-514-000</t>
  </si>
  <si>
    <t>1319-30-542-011</t>
  </si>
  <si>
    <t>1319-30-616-000</t>
  </si>
  <si>
    <t>1319-30-629-000</t>
  </si>
  <si>
    <t>1319-30-639-000</t>
  </si>
  <si>
    <t>1319-30-710-000</t>
  </si>
  <si>
    <t>1319-30-720-001</t>
  </si>
  <si>
    <t>1418-10-802-006</t>
  </si>
  <si>
    <t>117-130-014</t>
  </si>
  <si>
    <t>030-363-021</t>
  </si>
  <si>
    <t>030-363-21</t>
  </si>
  <si>
    <t>090-072-006</t>
  </si>
  <si>
    <t>090-073-007</t>
  </si>
  <si>
    <t>098-210-023</t>
  </si>
  <si>
    <t>115-030-098</t>
  </si>
  <si>
    <t>115-030-034</t>
  </si>
  <si>
    <t>115-030-096</t>
  </si>
  <si>
    <t>117-071-028</t>
  </si>
  <si>
    <t>1318-09-811-017</t>
  </si>
  <si>
    <t>029-041-59</t>
  </si>
  <si>
    <t>029-041-059</t>
  </si>
  <si>
    <t>029-051-16</t>
  </si>
  <si>
    <t>029-051-016</t>
  </si>
  <si>
    <t>029-064-07</t>
  </si>
  <si>
    <t>090-074-27</t>
  </si>
  <si>
    <t>TAU Accounting</t>
  </si>
  <si>
    <t>NET CHANGE FROM 2012</t>
  </si>
  <si>
    <t>Existing</t>
  </si>
  <si>
    <t>Change</t>
  </si>
  <si>
    <t>n/a</t>
  </si>
  <si>
    <t>Net Change</t>
  </si>
  <si>
    <t>Added</t>
  </si>
  <si>
    <t>Added from Allocations</t>
  </si>
  <si>
    <t>Added from Transfer</t>
  </si>
  <si>
    <t>Added from Conversions</t>
  </si>
  <si>
    <t>Added from Banked</t>
  </si>
  <si>
    <t>Removed</t>
  </si>
  <si>
    <t>Banked</t>
  </si>
  <si>
    <t>Converted</t>
  </si>
  <si>
    <t>Major Completed Projects</t>
  </si>
  <si>
    <t>Edgewood Lodge (154 units)</t>
  </si>
  <si>
    <t>Zalanta (32 units)</t>
  </si>
  <si>
    <t>Landing (5 units)</t>
  </si>
  <si>
    <t>Edgewood Casitas (7 units)</t>
  </si>
  <si>
    <t>Peak10 Conversion and Banking (27 units)</t>
  </si>
  <si>
    <t>Desolation Hotel (21 units)</t>
  </si>
  <si>
    <t>Motel 6 Banking (141 Units)</t>
  </si>
  <si>
    <t>South Y Lodge Banking (CTC, 9 units)</t>
  </si>
  <si>
    <t>Knights Inn Banking (110 units)</t>
  </si>
  <si>
    <t>Calneva Banking (15 units)</t>
  </si>
  <si>
    <t>Lakeside Inn Banking (124 units)</t>
  </si>
  <si>
    <t>Sunray Motel Banking (64 units)</t>
  </si>
  <si>
    <t>Corrections</t>
  </si>
  <si>
    <t>Calneva Banking (18 units)</t>
  </si>
  <si>
    <t>Landing Banking (13 units)</t>
  </si>
  <si>
    <t>TAU to Commercial Conversion SLT (Gym Love/Axe Throwing)</t>
  </si>
  <si>
    <t>City of South Lake Tahoe</t>
  </si>
  <si>
    <t>Douglas County</t>
  </si>
  <si>
    <t>El Dorado County</t>
  </si>
  <si>
    <t>Placer County</t>
  </si>
  <si>
    <t>Washoe County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</si>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</sst>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1" applyNumberFormat="1" applyFont="1"/>
    <xf numFmtId="0" fontId="0" fillId="0" borderId="0" xfId="0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9" fontId="0" fillId="0" borderId="0" xfId="1" applyFont="1"/>
  </cellXfs>
  <cellStyles count="2">
    <cellStyle name="Normal" xfId="0" builtinId="0"/>
    <cellStyle name="Percent" xfId="1" builtinId="5"/>
  </cellStyles>
  <dxfs count="23">
    <dxf>
      <font>
        <color theme="0" tint="-0.24994659260841701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FC53-F38A-4C64-9742-23725BD73E68}">
  <dimension ref="A1:P381"/>
  <sheetViews>
    <sheetView workbookViewId="0">
      <pane ySplit="1" topLeftCell="A273" activePane="bottomLeft" state="frozen"/>
      <selection pane="bottomLeft" activeCell="J289" sqref="A1:P381"/>
    </sheetView>
  </sheetViews>
  <sheetFormatPr defaultRowHeight="12.75"/>
  <cols>
    <col min="1" max="1" width="14.85546875" bestFit="1" customWidth="1"/>
    <col min="2" max="2" width="14.85546875" customWidth="1"/>
    <col min="3" max="16" width="1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I2">
        <v>7</v>
      </c>
      <c r="J2">
        <v>7</v>
      </c>
      <c r="K2">
        <v>7</v>
      </c>
      <c r="L2">
        <v>7</v>
      </c>
      <c r="M2">
        <v>7</v>
      </c>
      <c r="N2">
        <v>7</v>
      </c>
      <c r="O2">
        <v>7</v>
      </c>
      <c r="P2">
        <v>7</v>
      </c>
    </row>
    <row r="3" spans="1:16">
      <c r="A3" s="2" t="s">
        <v>18</v>
      </c>
      <c r="B3" s="2" t="s">
        <v>17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</row>
    <row r="4" spans="1:16">
      <c r="A4" s="2" t="s">
        <v>19</v>
      </c>
      <c r="B4" s="2" t="s">
        <v>17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</row>
    <row r="5" spans="1:16">
      <c r="A5" s="2" t="s">
        <v>20</v>
      </c>
      <c r="B5" s="2" t="s">
        <v>17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</row>
    <row r="6" spans="1:16">
      <c r="A6" s="2" t="s">
        <v>21</v>
      </c>
      <c r="B6" s="2" t="s">
        <v>17</v>
      </c>
      <c r="I6">
        <v>22</v>
      </c>
      <c r="J6">
        <v>22</v>
      </c>
      <c r="K6">
        <v>22</v>
      </c>
      <c r="L6">
        <v>22</v>
      </c>
      <c r="M6">
        <v>22</v>
      </c>
      <c r="N6">
        <v>22</v>
      </c>
      <c r="O6">
        <v>22</v>
      </c>
      <c r="P6">
        <v>22</v>
      </c>
    </row>
    <row r="7" spans="1:16">
      <c r="A7" s="2" t="s">
        <v>22</v>
      </c>
      <c r="B7" s="2" t="s">
        <v>17</v>
      </c>
      <c r="C7">
        <v>22</v>
      </c>
      <c r="D7">
        <v>22</v>
      </c>
      <c r="E7">
        <v>22</v>
      </c>
      <c r="F7">
        <v>22</v>
      </c>
      <c r="G7">
        <v>22</v>
      </c>
      <c r="H7">
        <v>22</v>
      </c>
    </row>
    <row r="8" spans="1:16">
      <c r="A8" s="2" t="s">
        <v>23</v>
      </c>
      <c r="B8" s="2" t="s">
        <v>24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</row>
    <row r="9" spans="1:16">
      <c r="A9" s="2" t="s">
        <v>25</v>
      </c>
      <c r="B9" s="2" t="s">
        <v>24</v>
      </c>
      <c r="I9">
        <v>30</v>
      </c>
      <c r="J9">
        <v>30</v>
      </c>
      <c r="K9">
        <v>30</v>
      </c>
      <c r="L9">
        <v>30</v>
      </c>
      <c r="M9">
        <v>30</v>
      </c>
      <c r="N9">
        <v>30</v>
      </c>
      <c r="O9">
        <v>30</v>
      </c>
      <c r="P9">
        <v>30</v>
      </c>
    </row>
    <row r="10" spans="1:16">
      <c r="A10" s="2" t="s">
        <v>26</v>
      </c>
      <c r="B10" s="2" t="s">
        <v>24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1" spans="1:16">
      <c r="A11" s="2" t="s">
        <v>27</v>
      </c>
      <c r="B11" s="2" t="s">
        <v>24</v>
      </c>
      <c r="C11">
        <v>30</v>
      </c>
      <c r="D11">
        <v>30</v>
      </c>
      <c r="E11">
        <v>30</v>
      </c>
      <c r="F11">
        <v>30</v>
      </c>
      <c r="G11">
        <v>30</v>
      </c>
      <c r="H11">
        <v>30</v>
      </c>
    </row>
    <row r="12" spans="1:16">
      <c r="A12" s="2" t="s">
        <v>28</v>
      </c>
      <c r="B12" s="2" t="s">
        <v>24</v>
      </c>
      <c r="I12">
        <v>11</v>
      </c>
      <c r="J12">
        <v>11</v>
      </c>
      <c r="K12">
        <v>11</v>
      </c>
      <c r="L12">
        <v>11</v>
      </c>
      <c r="M12">
        <v>11</v>
      </c>
      <c r="N12">
        <v>11</v>
      </c>
      <c r="O12">
        <v>11</v>
      </c>
      <c r="P12">
        <v>11</v>
      </c>
    </row>
    <row r="13" spans="1:16">
      <c r="A13" s="2" t="s">
        <v>29</v>
      </c>
      <c r="B13" s="2" t="s">
        <v>24</v>
      </c>
      <c r="I13">
        <v>16</v>
      </c>
      <c r="J13">
        <v>16</v>
      </c>
      <c r="K13">
        <v>16</v>
      </c>
      <c r="L13">
        <v>16</v>
      </c>
      <c r="M13">
        <v>16</v>
      </c>
      <c r="N13">
        <v>16</v>
      </c>
      <c r="O13">
        <v>16</v>
      </c>
      <c r="P13">
        <v>16</v>
      </c>
    </row>
    <row r="14" spans="1:16">
      <c r="A14" s="2" t="s">
        <v>30</v>
      </c>
      <c r="B14" s="2" t="s">
        <v>24</v>
      </c>
      <c r="C14">
        <v>11</v>
      </c>
      <c r="D14">
        <v>11</v>
      </c>
      <c r="E14">
        <v>11</v>
      </c>
      <c r="F14">
        <v>11</v>
      </c>
      <c r="G14">
        <v>11</v>
      </c>
      <c r="H14">
        <v>11</v>
      </c>
    </row>
    <row r="15" spans="1:16">
      <c r="A15" s="2" t="s">
        <v>31</v>
      </c>
      <c r="B15" s="2" t="s">
        <v>24</v>
      </c>
      <c r="C15">
        <v>16</v>
      </c>
      <c r="D15">
        <v>16</v>
      </c>
      <c r="E15">
        <v>16</v>
      </c>
      <c r="F15">
        <v>16</v>
      </c>
      <c r="G15">
        <v>16</v>
      </c>
      <c r="H15">
        <v>16</v>
      </c>
    </row>
    <row r="16" spans="1:16">
      <c r="A16" s="2" t="s">
        <v>32</v>
      </c>
      <c r="B16" s="2" t="s">
        <v>24</v>
      </c>
      <c r="I16">
        <v>21</v>
      </c>
      <c r="J16">
        <v>21</v>
      </c>
      <c r="K16">
        <v>21</v>
      </c>
      <c r="L16">
        <v>21</v>
      </c>
      <c r="M16">
        <v>21</v>
      </c>
      <c r="N16">
        <v>21</v>
      </c>
      <c r="O16">
        <v>21</v>
      </c>
      <c r="P16">
        <v>21</v>
      </c>
    </row>
    <row r="17" spans="1:16">
      <c r="A17" s="2" t="s">
        <v>33</v>
      </c>
      <c r="B17" s="2" t="s">
        <v>24</v>
      </c>
      <c r="C17">
        <v>21</v>
      </c>
      <c r="D17">
        <v>21</v>
      </c>
      <c r="E17">
        <v>21</v>
      </c>
      <c r="F17">
        <v>21</v>
      </c>
      <c r="G17">
        <v>21</v>
      </c>
      <c r="H17">
        <v>21</v>
      </c>
    </row>
    <row r="18" spans="1:16">
      <c r="A18" s="2" t="s">
        <v>34</v>
      </c>
      <c r="B18" s="2" t="s">
        <v>24</v>
      </c>
      <c r="I18">
        <v>21</v>
      </c>
      <c r="J18">
        <v>21</v>
      </c>
      <c r="K18">
        <v>21</v>
      </c>
      <c r="L18">
        <v>21</v>
      </c>
      <c r="M18">
        <v>21</v>
      </c>
      <c r="N18">
        <v>21</v>
      </c>
      <c r="O18">
        <v>21</v>
      </c>
      <c r="P18">
        <v>21</v>
      </c>
    </row>
    <row r="19" spans="1:16">
      <c r="A19" s="2" t="s">
        <v>35</v>
      </c>
      <c r="B19" s="2" t="s">
        <v>24</v>
      </c>
      <c r="I19">
        <v>17</v>
      </c>
      <c r="J19">
        <v>17</v>
      </c>
      <c r="K19">
        <v>17</v>
      </c>
      <c r="L19">
        <v>17</v>
      </c>
      <c r="M19">
        <v>17</v>
      </c>
      <c r="N19">
        <v>17</v>
      </c>
      <c r="O19">
        <v>17</v>
      </c>
      <c r="P19">
        <v>17</v>
      </c>
    </row>
    <row r="20" spans="1:16">
      <c r="A20" s="2" t="s">
        <v>36</v>
      </c>
      <c r="B20" s="2" t="s">
        <v>24</v>
      </c>
      <c r="C20">
        <v>21</v>
      </c>
      <c r="D20">
        <v>21</v>
      </c>
      <c r="E20">
        <v>21</v>
      </c>
      <c r="F20">
        <v>21</v>
      </c>
      <c r="G20">
        <v>21</v>
      </c>
      <c r="H20">
        <v>21</v>
      </c>
    </row>
    <row r="21" spans="1:16">
      <c r="A21" s="2" t="s">
        <v>37</v>
      </c>
      <c r="B21" s="2" t="s">
        <v>24</v>
      </c>
      <c r="C21">
        <v>17</v>
      </c>
      <c r="D21">
        <v>17</v>
      </c>
      <c r="E21">
        <v>17</v>
      </c>
      <c r="F21">
        <v>17</v>
      </c>
      <c r="G21">
        <v>17</v>
      </c>
      <c r="H21">
        <v>17</v>
      </c>
    </row>
    <row r="22" spans="1:16">
      <c r="A22" s="2" t="s">
        <v>38</v>
      </c>
      <c r="B22" s="2" t="s">
        <v>24</v>
      </c>
      <c r="I22">
        <v>21</v>
      </c>
      <c r="J22">
        <v>21</v>
      </c>
      <c r="K22">
        <v>21</v>
      </c>
      <c r="L22">
        <v>21</v>
      </c>
      <c r="M22">
        <v>21</v>
      </c>
      <c r="N22">
        <v>21</v>
      </c>
    </row>
    <row r="23" spans="1:16">
      <c r="A23" s="2" t="s">
        <v>39</v>
      </c>
      <c r="B23" s="2" t="s">
        <v>24</v>
      </c>
      <c r="I23">
        <v>18</v>
      </c>
      <c r="J23">
        <v>18</v>
      </c>
      <c r="K23">
        <v>18</v>
      </c>
      <c r="L23">
        <v>18</v>
      </c>
      <c r="M23">
        <v>18</v>
      </c>
      <c r="N23">
        <v>18</v>
      </c>
      <c r="O23">
        <v>18</v>
      </c>
      <c r="P23">
        <v>18</v>
      </c>
    </row>
    <row r="24" spans="1:16">
      <c r="A24" s="2" t="s">
        <v>40</v>
      </c>
      <c r="B24" s="2" t="s">
        <v>24</v>
      </c>
      <c r="I24">
        <v>18</v>
      </c>
      <c r="J24">
        <v>18</v>
      </c>
      <c r="K24">
        <v>18</v>
      </c>
      <c r="L24">
        <v>18</v>
      </c>
      <c r="M24">
        <v>18</v>
      </c>
      <c r="N24">
        <v>18</v>
      </c>
      <c r="O24">
        <v>18</v>
      </c>
      <c r="P24">
        <v>18</v>
      </c>
    </row>
    <row r="25" spans="1:16">
      <c r="A25" s="2" t="s">
        <v>41</v>
      </c>
      <c r="B25" s="2" t="s">
        <v>24</v>
      </c>
      <c r="C25">
        <v>21</v>
      </c>
      <c r="D25">
        <v>21</v>
      </c>
      <c r="E25">
        <v>21</v>
      </c>
      <c r="F25">
        <v>21</v>
      </c>
      <c r="G25">
        <v>21</v>
      </c>
      <c r="H25">
        <v>21</v>
      </c>
    </row>
    <row r="26" spans="1:16">
      <c r="A26" s="2" t="s">
        <v>42</v>
      </c>
      <c r="B26" s="2" t="s">
        <v>24</v>
      </c>
      <c r="C26">
        <v>18</v>
      </c>
      <c r="D26">
        <v>18</v>
      </c>
      <c r="E26">
        <v>18</v>
      </c>
      <c r="F26">
        <v>18</v>
      </c>
      <c r="G26">
        <v>18</v>
      </c>
      <c r="H26">
        <v>18</v>
      </c>
    </row>
    <row r="27" spans="1:16">
      <c r="A27" s="2" t="s">
        <v>43</v>
      </c>
      <c r="B27" s="2" t="s">
        <v>24</v>
      </c>
      <c r="C27">
        <v>18</v>
      </c>
      <c r="D27">
        <v>18</v>
      </c>
      <c r="E27">
        <v>18</v>
      </c>
      <c r="F27">
        <v>18</v>
      </c>
      <c r="G27">
        <v>18</v>
      </c>
      <c r="H27">
        <v>18</v>
      </c>
    </row>
    <row r="28" spans="1:16">
      <c r="A28" s="2" t="s">
        <v>44</v>
      </c>
      <c r="B28" s="2" t="s">
        <v>24</v>
      </c>
      <c r="I28">
        <v>21</v>
      </c>
      <c r="J28">
        <v>21</v>
      </c>
      <c r="K28">
        <v>21</v>
      </c>
      <c r="L28">
        <v>21</v>
      </c>
      <c r="M28">
        <v>21</v>
      </c>
      <c r="N28">
        <v>21</v>
      </c>
      <c r="O28">
        <v>21</v>
      </c>
      <c r="P28">
        <v>21</v>
      </c>
    </row>
    <row r="29" spans="1:16">
      <c r="A29" s="2" t="s">
        <v>45</v>
      </c>
      <c r="B29" s="2" t="s">
        <v>24</v>
      </c>
      <c r="C29">
        <v>21</v>
      </c>
      <c r="D29">
        <v>21</v>
      </c>
      <c r="E29">
        <v>21</v>
      </c>
      <c r="F29">
        <v>21</v>
      </c>
      <c r="G29">
        <v>21</v>
      </c>
      <c r="H29">
        <v>21</v>
      </c>
    </row>
    <row r="30" spans="1:16">
      <c r="A30" s="2" t="s">
        <v>46</v>
      </c>
      <c r="B30" s="2" t="s">
        <v>24</v>
      </c>
      <c r="I30">
        <v>8</v>
      </c>
      <c r="J30">
        <v>8</v>
      </c>
      <c r="K30">
        <v>8</v>
      </c>
      <c r="L30">
        <v>8</v>
      </c>
      <c r="M30">
        <v>8</v>
      </c>
      <c r="N30">
        <v>8</v>
      </c>
      <c r="O30">
        <v>8</v>
      </c>
      <c r="P30">
        <v>8</v>
      </c>
    </row>
    <row r="31" spans="1:16">
      <c r="A31" s="2" t="s">
        <v>47</v>
      </c>
      <c r="B31" s="2" t="s">
        <v>24</v>
      </c>
      <c r="C31">
        <v>8</v>
      </c>
      <c r="D31">
        <v>8</v>
      </c>
      <c r="E31">
        <v>8</v>
      </c>
      <c r="F31">
        <v>8</v>
      </c>
      <c r="G31">
        <v>8</v>
      </c>
      <c r="H31">
        <v>8</v>
      </c>
    </row>
    <row r="32" spans="1:16">
      <c r="A32" s="2" t="s">
        <v>48</v>
      </c>
      <c r="B32" s="2" t="s">
        <v>24</v>
      </c>
      <c r="I32">
        <v>22</v>
      </c>
      <c r="J32">
        <v>22</v>
      </c>
      <c r="K32">
        <v>22</v>
      </c>
      <c r="L32">
        <v>22</v>
      </c>
      <c r="M32">
        <v>22</v>
      </c>
      <c r="N32">
        <v>22</v>
      </c>
      <c r="O32">
        <v>22</v>
      </c>
      <c r="P32">
        <v>22</v>
      </c>
    </row>
    <row r="33" spans="1:16">
      <c r="A33" s="2" t="s">
        <v>49</v>
      </c>
      <c r="B33" s="2" t="s">
        <v>24</v>
      </c>
      <c r="C33">
        <v>22</v>
      </c>
      <c r="D33">
        <v>22</v>
      </c>
      <c r="E33">
        <v>22</v>
      </c>
      <c r="F33">
        <v>22</v>
      </c>
      <c r="G33">
        <v>22</v>
      </c>
      <c r="H33">
        <v>22</v>
      </c>
    </row>
    <row r="34" spans="1:16">
      <c r="A34" s="2" t="s">
        <v>50</v>
      </c>
      <c r="B34" s="2" t="s">
        <v>24</v>
      </c>
      <c r="I34">
        <v>15</v>
      </c>
      <c r="J34">
        <v>15</v>
      </c>
      <c r="K34">
        <v>15</v>
      </c>
      <c r="L34">
        <v>15</v>
      </c>
      <c r="M34">
        <v>15</v>
      </c>
      <c r="N34">
        <v>15</v>
      </c>
      <c r="O34">
        <v>15</v>
      </c>
      <c r="P34">
        <v>15</v>
      </c>
    </row>
    <row r="35" spans="1:16">
      <c r="A35" s="2" t="s">
        <v>51</v>
      </c>
      <c r="B35" s="2" t="s">
        <v>24</v>
      </c>
      <c r="C35">
        <v>15</v>
      </c>
      <c r="D35">
        <v>15</v>
      </c>
      <c r="E35">
        <v>15</v>
      </c>
      <c r="F35">
        <v>15</v>
      </c>
      <c r="G35">
        <v>15</v>
      </c>
      <c r="H35">
        <v>15</v>
      </c>
    </row>
    <row r="36" spans="1:16">
      <c r="A36" s="2" t="s">
        <v>52</v>
      </c>
      <c r="B36" s="2" t="s">
        <v>24</v>
      </c>
      <c r="I36">
        <v>26</v>
      </c>
      <c r="J36">
        <v>26</v>
      </c>
      <c r="K36">
        <v>26</v>
      </c>
      <c r="L36">
        <v>26</v>
      </c>
      <c r="M36">
        <v>26</v>
      </c>
      <c r="N36">
        <v>26</v>
      </c>
      <c r="O36">
        <v>26</v>
      </c>
      <c r="P36">
        <v>26</v>
      </c>
    </row>
    <row r="37" spans="1:16">
      <c r="A37" s="2" t="s">
        <v>53</v>
      </c>
      <c r="B37" s="2" t="s">
        <v>24</v>
      </c>
      <c r="C37">
        <v>26</v>
      </c>
      <c r="D37">
        <v>26</v>
      </c>
      <c r="E37">
        <v>26</v>
      </c>
      <c r="F37">
        <v>26</v>
      </c>
      <c r="G37">
        <v>26</v>
      </c>
      <c r="H37">
        <v>26</v>
      </c>
    </row>
    <row r="38" spans="1:16">
      <c r="A38" s="2" t="s">
        <v>54</v>
      </c>
      <c r="B38" s="2" t="s">
        <v>24</v>
      </c>
      <c r="I38">
        <v>60</v>
      </c>
      <c r="J38">
        <v>60</v>
      </c>
      <c r="K38">
        <v>60</v>
      </c>
      <c r="L38">
        <v>60</v>
      </c>
      <c r="M38">
        <v>60</v>
      </c>
      <c r="N38">
        <v>60</v>
      </c>
      <c r="O38">
        <v>60</v>
      </c>
      <c r="P38">
        <v>60</v>
      </c>
    </row>
    <row r="39" spans="1:16">
      <c r="A39" s="2" t="s">
        <v>55</v>
      </c>
      <c r="B39" s="2" t="s">
        <v>24</v>
      </c>
      <c r="I39">
        <v>50</v>
      </c>
      <c r="J39">
        <v>50</v>
      </c>
      <c r="K39">
        <v>50</v>
      </c>
      <c r="L39">
        <v>50</v>
      </c>
      <c r="M39">
        <v>50</v>
      </c>
      <c r="N39">
        <v>50</v>
      </c>
      <c r="O39">
        <v>50</v>
      </c>
      <c r="P39">
        <v>50</v>
      </c>
    </row>
    <row r="40" spans="1:16">
      <c r="A40" s="2" t="s">
        <v>56</v>
      </c>
      <c r="B40" s="2" t="s">
        <v>24</v>
      </c>
      <c r="C40">
        <v>60</v>
      </c>
      <c r="D40">
        <v>60</v>
      </c>
      <c r="E40">
        <v>60</v>
      </c>
      <c r="F40">
        <v>60</v>
      </c>
      <c r="G40">
        <v>60</v>
      </c>
      <c r="H40">
        <v>60</v>
      </c>
    </row>
    <row r="41" spans="1:16">
      <c r="A41" s="2" t="s">
        <v>57</v>
      </c>
      <c r="B41" s="2" t="s">
        <v>24</v>
      </c>
      <c r="C41">
        <v>50</v>
      </c>
      <c r="D41">
        <v>50</v>
      </c>
      <c r="E41">
        <v>50</v>
      </c>
      <c r="F41">
        <v>50</v>
      </c>
      <c r="G41">
        <v>50</v>
      </c>
      <c r="H41">
        <v>50</v>
      </c>
    </row>
    <row r="42" spans="1:16">
      <c r="A42" s="2" t="s">
        <v>58</v>
      </c>
      <c r="B42" s="2" t="s">
        <v>24</v>
      </c>
      <c r="I42">
        <v>140</v>
      </c>
      <c r="J42">
        <v>140</v>
      </c>
      <c r="K42">
        <v>140</v>
      </c>
      <c r="L42">
        <v>140</v>
      </c>
      <c r="M42">
        <v>140</v>
      </c>
      <c r="N42">
        <v>140</v>
      </c>
      <c r="O42">
        <v>140</v>
      </c>
      <c r="P42">
        <v>140</v>
      </c>
    </row>
    <row r="43" spans="1:16">
      <c r="A43" s="2" t="s">
        <v>59</v>
      </c>
      <c r="B43" s="2" t="s">
        <v>24</v>
      </c>
      <c r="C43">
        <v>110</v>
      </c>
      <c r="D43">
        <v>110</v>
      </c>
      <c r="E43">
        <v>110</v>
      </c>
      <c r="F43">
        <v>110</v>
      </c>
      <c r="G43">
        <v>110</v>
      </c>
    </row>
    <row r="44" spans="1:16">
      <c r="A44" s="2" t="s">
        <v>60</v>
      </c>
      <c r="B44" s="2" t="s">
        <v>24</v>
      </c>
      <c r="C44">
        <v>140</v>
      </c>
      <c r="D44">
        <v>140</v>
      </c>
      <c r="E44">
        <v>140</v>
      </c>
      <c r="F44">
        <v>140</v>
      </c>
      <c r="G44">
        <v>140</v>
      </c>
      <c r="H44">
        <v>140</v>
      </c>
    </row>
    <row r="45" spans="1:16">
      <c r="A45" s="2" t="s">
        <v>61</v>
      </c>
      <c r="B45" s="2" t="s">
        <v>24</v>
      </c>
      <c r="I45">
        <v>54</v>
      </c>
      <c r="J45">
        <v>54</v>
      </c>
      <c r="K45">
        <v>54</v>
      </c>
      <c r="L45">
        <v>54</v>
      </c>
      <c r="M45">
        <v>54</v>
      </c>
      <c r="N45">
        <v>54</v>
      </c>
      <c r="O45">
        <v>54</v>
      </c>
      <c r="P45">
        <v>54</v>
      </c>
    </row>
    <row r="46" spans="1:16">
      <c r="A46" s="2" t="s">
        <v>62</v>
      </c>
      <c r="B46" s="2" t="s">
        <v>24</v>
      </c>
      <c r="C46">
        <v>54</v>
      </c>
      <c r="D46">
        <v>54</v>
      </c>
      <c r="E46">
        <v>54</v>
      </c>
      <c r="F46">
        <v>54</v>
      </c>
      <c r="G46">
        <v>54</v>
      </c>
      <c r="H46">
        <v>54</v>
      </c>
    </row>
    <row r="47" spans="1:16">
      <c r="A47" s="2" t="s">
        <v>63</v>
      </c>
      <c r="B47" s="2" t="s">
        <v>24</v>
      </c>
      <c r="I47">
        <v>11</v>
      </c>
      <c r="J47">
        <v>11</v>
      </c>
      <c r="K47">
        <v>11</v>
      </c>
      <c r="L47">
        <v>11</v>
      </c>
      <c r="M47">
        <v>11</v>
      </c>
      <c r="N47">
        <v>11</v>
      </c>
      <c r="O47">
        <v>11</v>
      </c>
      <c r="P47">
        <v>11</v>
      </c>
    </row>
    <row r="48" spans="1:16">
      <c r="A48" s="2" t="s">
        <v>64</v>
      </c>
      <c r="B48" s="2" t="s">
        <v>24</v>
      </c>
      <c r="C48">
        <v>11</v>
      </c>
      <c r="D48">
        <v>11</v>
      </c>
      <c r="E48">
        <v>11</v>
      </c>
      <c r="F48">
        <v>11</v>
      </c>
      <c r="G48">
        <v>11</v>
      </c>
      <c r="H48">
        <v>11</v>
      </c>
    </row>
    <row r="49" spans="1:16">
      <c r="A49" s="2" t="s">
        <v>65</v>
      </c>
      <c r="B49" s="2" t="s">
        <v>24</v>
      </c>
      <c r="I49">
        <v>120</v>
      </c>
      <c r="J49">
        <v>120</v>
      </c>
      <c r="K49">
        <v>120</v>
      </c>
      <c r="L49">
        <v>120</v>
      </c>
      <c r="M49">
        <v>120</v>
      </c>
      <c r="N49">
        <v>120</v>
      </c>
      <c r="O49">
        <v>120</v>
      </c>
      <c r="P49">
        <v>120</v>
      </c>
    </row>
    <row r="50" spans="1:16">
      <c r="A50" s="2" t="s">
        <v>66</v>
      </c>
      <c r="B50" s="2" t="s">
        <v>24</v>
      </c>
      <c r="C50">
        <v>120</v>
      </c>
      <c r="D50">
        <v>120</v>
      </c>
      <c r="E50">
        <v>120</v>
      </c>
      <c r="F50">
        <v>120</v>
      </c>
      <c r="G50">
        <v>120</v>
      </c>
      <c r="H50">
        <v>120</v>
      </c>
    </row>
    <row r="51" spans="1:16">
      <c r="A51" s="2" t="s">
        <v>67</v>
      </c>
      <c r="B51" s="2" t="s">
        <v>24</v>
      </c>
      <c r="I51">
        <v>261</v>
      </c>
      <c r="J51">
        <v>261</v>
      </c>
      <c r="K51">
        <v>261</v>
      </c>
      <c r="L51">
        <v>261</v>
      </c>
      <c r="M51">
        <v>261</v>
      </c>
      <c r="N51">
        <v>261</v>
      </c>
      <c r="O51">
        <v>261</v>
      </c>
      <c r="P51">
        <v>261</v>
      </c>
    </row>
    <row r="52" spans="1:16">
      <c r="A52" s="2" t="s">
        <v>68</v>
      </c>
      <c r="B52" s="2" t="s">
        <v>24</v>
      </c>
      <c r="C52">
        <v>261</v>
      </c>
      <c r="D52">
        <v>261</v>
      </c>
      <c r="E52">
        <v>261</v>
      </c>
      <c r="F52">
        <v>261</v>
      </c>
      <c r="G52">
        <v>261</v>
      </c>
      <c r="H52">
        <v>261</v>
      </c>
    </row>
    <row r="53" spans="1:16">
      <c r="A53" s="2" t="s">
        <v>69</v>
      </c>
      <c r="B53" s="2" t="s">
        <v>24</v>
      </c>
      <c r="I53">
        <v>24</v>
      </c>
      <c r="J53">
        <v>24</v>
      </c>
      <c r="K53">
        <v>24</v>
      </c>
      <c r="L53">
        <v>24</v>
      </c>
      <c r="M53">
        <v>24</v>
      </c>
      <c r="N53">
        <v>24</v>
      </c>
      <c r="O53">
        <v>24</v>
      </c>
      <c r="P53">
        <v>24</v>
      </c>
    </row>
    <row r="54" spans="1:16">
      <c r="A54" s="2" t="s">
        <v>70</v>
      </c>
      <c r="B54" s="2" t="s">
        <v>24</v>
      </c>
      <c r="C54">
        <v>24</v>
      </c>
      <c r="D54">
        <v>24</v>
      </c>
      <c r="E54">
        <v>24</v>
      </c>
      <c r="F54">
        <v>24</v>
      </c>
      <c r="G54">
        <v>24</v>
      </c>
      <c r="H54">
        <v>24</v>
      </c>
    </row>
    <row r="55" spans="1:16">
      <c r="A55" s="2" t="s">
        <v>71</v>
      </c>
      <c r="B55" s="2" t="s">
        <v>24</v>
      </c>
      <c r="I55">
        <v>65</v>
      </c>
      <c r="J55">
        <v>65</v>
      </c>
      <c r="K55">
        <v>65</v>
      </c>
      <c r="L55">
        <v>65</v>
      </c>
      <c r="M55">
        <v>65</v>
      </c>
      <c r="N55">
        <v>65</v>
      </c>
      <c r="O55">
        <v>65</v>
      </c>
      <c r="P55">
        <v>65</v>
      </c>
    </row>
    <row r="56" spans="1:16">
      <c r="A56" s="2" t="s">
        <v>72</v>
      </c>
      <c r="B56" s="2" t="s">
        <v>24</v>
      </c>
      <c r="C56">
        <v>65</v>
      </c>
      <c r="D56">
        <v>65</v>
      </c>
      <c r="E56">
        <v>65</v>
      </c>
      <c r="F56">
        <v>65</v>
      </c>
      <c r="G56">
        <v>65</v>
      </c>
      <c r="H56">
        <v>65</v>
      </c>
    </row>
    <row r="57" spans="1:16">
      <c r="A57" s="2" t="s">
        <v>73</v>
      </c>
      <c r="B57" s="2" t="s">
        <v>24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</row>
    <row r="58" spans="1:16">
      <c r="A58" s="2" t="s">
        <v>74</v>
      </c>
      <c r="B58" s="2" t="s">
        <v>24</v>
      </c>
      <c r="I58">
        <v>9</v>
      </c>
      <c r="J58">
        <v>9</v>
      </c>
      <c r="K58">
        <v>9</v>
      </c>
      <c r="L58">
        <v>9</v>
      </c>
      <c r="M58">
        <v>9</v>
      </c>
      <c r="N58">
        <v>9</v>
      </c>
      <c r="O58">
        <v>9</v>
      </c>
      <c r="P58">
        <v>9</v>
      </c>
    </row>
    <row r="59" spans="1:16">
      <c r="A59" s="2" t="s">
        <v>75</v>
      </c>
      <c r="B59" s="2" t="s">
        <v>24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</row>
    <row r="60" spans="1:16">
      <c r="A60" s="2" t="s">
        <v>76</v>
      </c>
      <c r="B60" s="2" t="s">
        <v>24</v>
      </c>
      <c r="C60">
        <v>9</v>
      </c>
      <c r="D60">
        <v>9</v>
      </c>
      <c r="E60">
        <v>9</v>
      </c>
      <c r="F60">
        <v>9</v>
      </c>
      <c r="G60">
        <v>9</v>
      </c>
      <c r="H60">
        <v>9</v>
      </c>
    </row>
    <row r="61" spans="1:16">
      <c r="A61" s="2" t="s">
        <v>77</v>
      </c>
      <c r="B61" s="2" t="s">
        <v>24</v>
      </c>
      <c r="I61">
        <v>36</v>
      </c>
      <c r="J61">
        <v>36</v>
      </c>
      <c r="K61">
        <v>36</v>
      </c>
      <c r="L61">
        <v>36</v>
      </c>
      <c r="M61">
        <v>36</v>
      </c>
      <c r="N61">
        <v>36</v>
      </c>
      <c r="O61">
        <v>36</v>
      </c>
      <c r="P61">
        <v>36</v>
      </c>
    </row>
    <row r="62" spans="1:16">
      <c r="A62" s="2" t="s">
        <v>78</v>
      </c>
      <c r="B62" s="2" t="s">
        <v>24</v>
      </c>
      <c r="I62">
        <v>32</v>
      </c>
      <c r="J62">
        <v>32</v>
      </c>
      <c r="K62">
        <v>32</v>
      </c>
      <c r="L62">
        <v>32</v>
      </c>
      <c r="M62">
        <v>32</v>
      </c>
      <c r="N62">
        <v>32</v>
      </c>
      <c r="O62">
        <v>32</v>
      </c>
      <c r="P62">
        <v>32</v>
      </c>
    </row>
    <row r="63" spans="1:16">
      <c r="A63" s="2" t="s">
        <v>79</v>
      </c>
      <c r="B63" s="2" t="s">
        <v>24</v>
      </c>
      <c r="C63">
        <v>36</v>
      </c>
      <c r="D63">
        <v>36</v>
      </c>
      <c r="E63">
        <v>36</v>
      </c>
      <c r="F63">
        <v>36</v>
      </c>
      <c r="G63">
        <v>36</v>
      </c>
      <c r="H63">
        <v>36</v>
      </c>
    </row>
    <row r="64" spans="1:16">
      <c r="A64" s="2" t="s">
        <v>80</v>
      </c>
      <c r="B64" s="2" t="s">
        <v>24</v>
      </c>
      <c r="I64">
        <v>28</v>
      </c>
      <c r="J64">
        <v>28</v>
      </c>
      <c r="K64">
        <v>28</v>
      </c>
      <c r="L64">
        <v>28</v>
      </c>
      <c r="M64">
        <v>28</v>
      </c>
      <c r="N64">
        <v>28</v>
      </c>
      <c r="O64">
        <v>28</v>
      </c>
      <c r="P64">
        <v>28</v>
      </c>
    </row>
    <row r="65" spans="1:16">
      <c r="A65" s="2" t="s">
        <v>81</v>
      </c>
      <c r="B65" s="2" t="s">
        <v>24</v>
      </c>
      <c r="I65">
        <v>44</v>
      </c>
      <c r="J65">
        <v>44</v>
      </c>
      <c r="K65">
        <v>44</v>
      </c>
      <c r="L65">
        <v>44</v>
      </c>
      <c r="M65">
        <v>44</v>
      </c>
      <c r="N65">
        <v>44</v>
      </c>
      <c r="O65">
        <v>44</v>
      </c>
      <c r="P65">
        <v>44</v>
      </c>
    </row>
    <row r="66" spans="1:16">
      <c r="A66" s="2" t="s">
        <v>82</v>
      </c>
      <c r="B66" s="2" t="s">
        <v>24</v>
      </c>
      <c r="I66">
        <v>29</v>
      </c>
      <c r="J66">
        <v>29</v>
      </c>
      <c r="K66">
        <v>29</v>
      </c>
      <c r="L66">
        <v>29</v>
      </c>
      <c r="M66">
        <v>29</v>
      </c>
      <c r="N66">
        <v>29</v>
      </c>
      <c r="O66">
        <v>29</v>
      </c>
      <c r="P66">
        <v>29</v>
      </c>
    </row>
    <row r="67" spans="1:16">
      <c r="A67" s="2" t="s">
        <v>83</v>
      </c>
      <c r="B67" s="2" t="s">
        <v>24</v>
      </c>
      <c r="C67">
        <v>32</v>
      </c>
      <c r="D67">
        <v>32</v>
      </c>
      <c r="E67">
        <v>32</v>
      </c>
      <c r="F67">
        <v>32</v>
      </c>
      <c r="G67">
        <v>32</v>
      </c>
      <c r="H67">
        <v>32</v>
      </c>
    </row>
    <row r="68" spans="1:16">
      <c r="A68" s="2" t="s">
        <v>84</v>
      </c>
      <c r="B68" s="2" t="s">
        <v>24</v>
      </c>
      <c r="C68">
        <v>28</v>
      </c>
      <c r="D68">
        <v>28</v>
      </c>
      <c r="E68">
        <v>28</v>
      </c>
      <c r="F68">
        <v>28</v>
      </c>
      <c r="G68">
        <v>28</v>
      </c>
      <c r="H68">
        <v>28</v>
      </c>
    </row>
    <row r="69" spans="1:16">
      <c r="A69" s="2" t="s">
        <v>85</v>
      </c>
      <c r="B69" s="2" t="s">
        <v>24</v>
      </c>
      <c r="C69">
        <v>44</v>
      </c>
      <c r="D69">
        <v>44</v>
      </c>
      <c r="E69">
        <v>44</v>
      </c>
      <c r="F69">
        <v>44</v>
      </c>
      <c r="G69">
        <v>44</v>
      </c>
      <c r="H69">
        <v>44</v>
      </c>
    </row>
    <row r="70" spans="1:16">
      <c r="A70" s="2" t="s">
        <v>86</v>
      </c>
      <c r="B70" s="2" t="s">
        <v>24</v>
      </c>
      <c r="C70">
        <v>29</v>
      </c>
      <c r="D70">
        <v>29</v>
      </c>
      <c r="E70">
        <v>29</v>
      </c>
      <c r="F70">
        <v>29</v>
      </c>
      <c r="G70">
        <v>29</v>
      </c>
      <c r="H70">
        <v>29</v>
      </c>
    </row>
    <row r="71" spans="1:16">
      <c r="A71" s="2" t="s">
        <v>87</v>
      </c>
      <c r="B71" s="2" t="s">
        <v>24</v>
      </c>
      <c r="I71">
        <v>364</v>
      </c>
      <c r="J71">
        <v>364</v>
      </c>
      <c r="K71">
        <v>364</v>
      </c>
      <c r="L71">
        <v>364</v>
      </c>
      <c r="M71">
        <v>364</v>
      </c>
      <c r="N71">
        <v>364</v>
      </c>
      <c r="O71">
        <v>364</v>
      </c>
      <c r="P71">
        <v>364</v>
      </c>
    </row>
    <row r="72" spans="1:16">
      <c r="A72" s="2" t="s">
        <v>88</v>
      </c>
      <c r="B72" s="2" t="s">
        <v>24</v>
      </c>
      <c r="C72">
        <v>364</v>
      </c>
      <c r="D72">
        <v>364</v>
      </c>
      <c r="E72">
        <v>364</v>
      </c>
      <c r="F72">
        <v>364</v>
      </c>
      <c r="G72">
        <v>364</v>
      </c>
      <c r="H72">
        <v>364</v>
      </c>
    </row>
    <row r="73" spans="1:16">
      <c r="A73" s="2" t="s">
        <v>89</v>
      </c>
      <c r="B73" s="2" t="s">
        <v>24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</row>
    <row r="74" spans="1:16">
      <c r="A74" s="2" t="s">
        <v>90</v>
      </c>
      <c r="B74" s="2" t="s">
        <v>24</v>
      </c>
      <c r="C74">
        <v>12</v>
      </c>
      <c r="D74">
        <v>12</v>
      </c>
      <c r="E74">
        <v>12</v>
      </c>
      <c r="F74">
        <v>12</v>
      </c>
      <c r="G74">
        <v>12</v>
      </c>
      <c r="H74">
        <v>12</v>
      </c>
    </row>
    <row r="75" spans="1:16">
      <c r="A75" s="2" t="s">
        <v>91</v>
      </c>
      <c r="B75" s="2" t="s">
        <v>24</v>
      </c>
      <c r="I75">
        <v>160</v>
      </c>
      <c r="J75">
        <v>160</v>
      </c>
      <c r="K75">
        <v>160</v>
      </c>
      <c r="L75">
        <v>160</v>
      </c>
      <c r="M75">
        <v>160</v>
      </c>
      <c r="N75">
        <v>160</v>
      </c>
      <c r="O75">
        <v>160</v>
      </c>
      <c r="P75">
        <v>160</v>
      </c>
    </row>
    <row r="76" spans="1:16">
      <c r="A76" s="2" t="s">
        <v>92</v>
      </c>
      <c r="B76" s="2" t="s">
        <v>24</v>
      </c>
      <c r="C76">
        <v>160</v>
      </c>
      <c r="D76">
        <v>160</v>
      </c>
      <c r="E76">
        <v>160</v>
      </c>
      <c r="F76">
        <v>160</v>
      </c>
      <c r="G76">
        <v>160</v>
      </c>
      <c r="H76">
        <v>160</v>
      </c>
    </row>
    <row r="77" spans="1:16">
      <c r="A77" s="2" t="s">
        <v>93</v>
      </c>
      <c r="B77" s="2" t="s">
        <v>24</v>
      </c>
      <c r="I77">
        <v>20</v>
      </c>
      <c r="J77">
        <v>20</v>
      </c>
      <c r="K77">
        <v>20</v>
      </c>
      <c r="L77">
        <v>20</v>
      </c>
      <c r="M77">
        <v>20</v>
      </c>
      <c r="N77">
        <v>20</v>
      </c>
      <c r="O77">
        <v>20</v>
      </c>
      <c r="P77">
        <v>20</v>
      </c>
    </row>
    <row r="78" spans="1:16">
      <c r="A78" s="2" t="s">
        <v>94</v>
      </c>
      <c r="B78" s="2" t="s">
        <v>24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</row>
    <row r="79" spans="1:16">
      <c r="A79" s="2" t="s">
        <v>95</v>
      </c>
      <c r="B79" s="2" t="s">
        <v>24</v>
      </c>
      <c r="I79">
        <v>20</v>
      </c>
      <c r="J79">
        <v>20</v>
      </c>
      <c r="K79">
        <v>20</v>
      </c>
      <c r="L79">
        <v>20</v>
      </c>
      <c r="M79">
        <v>20</v>
      </c>
      <c r="N79">
        <v>20</v>
      </c>
      <c r="O79">
        <v>20</v>
      </c>
      <c r="P79">
        <v>20</v>
      </c>
    </row>
    <row r="80" spans="1:16">
      <c r="A80" s="2" t="s">
        <v>96</v>
      </c>
      <c r="B80" s="2" t="s">
        <v>24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</row>
    <row r="81" spans="1:16">
      <c r="A81" s="2" t="s">
        <v>97</v>
      </c>
      <c r="B81" s="2" t="s">
        <v>24</v>
      </c>
      <c r="C81">
        <v>20</v>
      </c>
      <c r="D81">
        <v>20</v>
      </c>
      <c r="E81">
        <v>20</v>
      </c>
      <c r="F81">
        <v>20</v>
      </c>
      <c r="G81">
        <v>20</v>
      </c>
      <c r="H81">
        <v>20</v>
      </c>
    </row>
    <row r="82" spans="1:16">
      <c r="A82" s="2" t="s">
        <v>98</v>
      </c>
      <c r="B82" s="2" t="s">
        <v>24</v>
      </c>
      <c r="I82">
        <v>19</v>
      </c>
      <c r="J82">
        <v>19</v>
      </c>
      <c r="K82">
        <v>19</v>
      </c>
      <c r="L82">
        <v>19</v>
      </c>
      <c r="M82">
        <v>19</v>
      </c>
      <c r="N82">
        <v>19</v>
      </c>
      <c r="O82">
        <v>19</v>
      </c>
      <c r="P82">
        <v>19</v>
      </c>
    </row>
    <row r="83" spans="1:16">
      <c r="A83" s="2" t="s">
        <v>99</v>
      </c>
      <c r="B83" s="2" t="s">
        <v>24</v>
      </c>
      <c r="I83">
        <v>62</v>
      </c>
      <c r="J83">
        <v>62</v>
      </c>
      <c r="K83">
        <v>62</v>
      </c>
      <c r="L83">
        <v>62</v>
      </c>
      <c r="M83">
        <v>62</v>
      </c>
      <c r="N83">
        <v>62</v>
      </c>
      <c r="O83">
        <v>62</v>
      </c>
      <c r="P83">
        <v>62</v>
      </c>
    </row>
    <row r="84" spans="1:16">
      <c r="A84" s="2" t="s">
        <v>100</v>
      </c>
      <c r="B84" s="2" t="s">
        <v>24</v>
      </c>
      <c r="I84">
        <v>36</v>
      </c>
      <c r="J84">
        <v>36</v>
      </c>
      <c r="K84">
        <v>36</v>
      </c>
      <c r="L84">
        <v>36</v>
      </c>
      <c r="M84">
        <v>36</v>
      </c>
      <c r="N84">
        <v>36</v>
      </c>
      <c r="O84">
        <v>36</v>
      </c>
      <c r="P84">
        <v>36</v>
      </c>
    </row>
    <row r="85" spans="1:16">
      <c r="A85" s="2" t="s">
        <v>101</v>
      </c>
      <c r="B85" s="2" t="s">
        <v>24</v>
      </c>
      <c r="I85">
        <v>23</v>
      </c>
      <c r="J85">
        <v>23</v>
      </c>
      <c r="K85">
        <v>23</v>
      </c>
      <c r="L85">
        <v>23</v>
      </c>
      <c r="M85">
        <v>23</v>
      </c>
      <c r="N85">
        <v>23</v>
      </c>
      <c r="O85">
        <v>23</v>
      </c>
      <c r="P85">
        <v>23</v>
      </c>
    </row>
    <row r="86" spans="1:16">
      <c r="A86" s="2" t="s">
        <v>102</v>
      </c>
      <c r="B86" s="2" t="s">
        <v>24</v>
      </c>
      <c r="I86">
        <v>37</v>
      </c>
      <c r="J86">
        <v>37</v>
      </c>
      <c r="K86">
        <v>37</v>
      </c>
      <c r="L86">
        <v>37</v>
      </c>
      <c r="M86">
        <v>37</v>
      </c>
      <c r="N86">
        <v>37</v>
      </c>
      <c r="O86">
        <v>37</v>
      </c>
      <c r="P86">
        <v>37</v>
      </c>
    </row>
    <row r="87" spans="1:16">
      <c r="A87" s="2" t="s">
        <v>103</v>
      </c>
      <c r="B87" s="2" t="s">
        <v>24</v>
      </c>
      <c r="I87">
        <v>145</v>
      </c>
      <c r="J87">
        <v>145</v>
      </c>
      <c r="K87">
        <v>145</v>
      </c>
      <c r="L87">
        <v>145</v>
      </c>
      <c r="M87">
        <v>145</v>
      </c>
      <c r="N87">
        <v>145</v>
      </c>
      <c r="O87">
        <v>145</v>
      </c>
      <c r="P87">
        <v>145</v>
      </c>
    </row>
    <row r="88" spans="1:16">
      <c r="A88" s="2" t="s">
        <v>104</v>
      </c>
      <c r="B88" s="2" t="s">
        <v>24</v>
      </c>
      <c r="I88">
        <v>17</v>
      </c>
      <c r="J88">
        <v>17</v>
      </c>
      <c r="K88">
        <v>17</v>
      </c>
      <c r="L88">
        <v>17</v>
      </c>
      <c r="M88">
        <v>17</v>
      </c>
      <c r="N88">
        <v>17</v>
      </c>
      <c r="O88">
        <v>17</v>
      </c>
      <c r="P88">
        <v>17</v>
      </c>
    </row>
    <row r="89" spans="1:16">
      <c r="A89" s="2" t="s">
        <v>105</v>
      </c>
      <c r="B89" s="2" t="s">
        <v>24</v>
      </c>
      <c r="I89">
        <v>30</v>
      </c>
      <c r="J89">
        <v>30</v>
      </c>
      <c r="K89">
        <v>30</v>
      </c>
      <c r="L89">
        <v>30</v>
      </c>
      <c r="M89">
        <v>30</v>
      </c>
      <c r="N89">
        <v>30</v>
      </c>
      <c r="O89">
        <v>30</v>
      </c>
      <c r="P89">
        <v>30</v>
      </c>
    </row>
    <row r="90" spans="1:16">
      <c r="A90" s="2" t="s">
        <v>106</v>
      </c>
      <c r="B90" s="2" t="s">
        <v>24</v>
      </c>
      <c r="I90">
        <v>38</v>
      </c>
      <c r="J90">
        <v>38</v>
      </c>
      <c r="K90">
        <v>38</v>
      </c>
      <c r="L90">
        <v>38</v>
      </c>
      <c r="M90">
        <v>38</v>
      </c>
      <c r="N90">
        <v>38</v>
      </c>
      <c r="O90">
        <v>38</v>
      </c>
      <c r="P90">
        <v>38</v>
      </c>
    </row>
    <row r="91" spans="1:16">
      <c r="A91" s="2" t="s">
        <v>107</v>
      </c>
      <c r="B91" s="2" t="s">
        <v>24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20</v>
      </c>
      <c r="O91">
        <v>20</v>
      </c>
      <c r="P91">
        <v>20</v>
      </c>
    </row>
    <row r="92" spans="1:16">
      <c r="A92" s="2" t="s">
        <v>108</v>
      </c>
      <c r="B92" s="2" t="s">
        <v>24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</row>
    <row r="93" spans="1:16">
      <c r="A93" s="2" t="s">
        <v>109</v>
      </c>
      <c r="B93" s="2" t="s">
        <v>24</v>
      </c>
      <c r="C93">
        <v>20</v>
      </c>
      <c r="D93">
        <v>20</v>
      </c>
      <c r="E93">
        <v>20</v>
      </c>
      <c r="F93">
        <v>20</v>
      </c>
      <c r="G93">
        <v>20</v>
      </c>
      <c r="H93">
        <v>20</v>
      </c>
    </row>
    <row r="94" spans="1:16">
      <c r="A94" s="2" t="s">
        <v>110</v>
      </c>
      <c r="B94" s="2" t="s">
        <v>24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</row>
    <row r="95" spans="1:16">
      <c r="A95" s="2" t="s">
        <v>111</v>
      </c>
      <c r="B95" s="2" t="s">
        <v>24</v>
      </c>
      <c r="C95">
        <v>19</v>
      </c>
      <c r="D95">
        <v>19</v>
      </c>
      <c r="E95">
        <v>19</v>
      </c>
      <c r="F95">
        <v>19</v>
      </c>
      <c r="G95">
        <v>19</v>
      </c>
      <c r="H95">
        <v>19</v>
      </c>
    </row>
    <row r="96" spans="1:16">
      <c r="A96" s="2" t="s">
        <v>112</v>
      </c>
      <c r="B96" s="2" t="s">
        <v>24</v>
      </c>
      <c r="C96">
        <v>62</v>
      </c>
      <c r="D96">
        <v>62</v>
      </c>
      <c r="E96">
        <v>62</v>
      </c>
      <c r="F96">
        <v>62</v>
      </c>
      <c r="G96">
        <v>62</v>
      </c>
      <c r="H96">
        <v>62</v>
      </c>
    </row>
    <row r="97" spans="1:16">
      <c r="A97" s="2" t="s">
        <v>113</v>
      </c>
      <c r="B97" s="2" t="s">
        <v>24</v>
      </c>
      <c r="C97">
        <v>36</v>
      </c>
      <c r="D97">
        <v>36</v>
      </c>
      <c r="E97">
        <v>36</v>
      </c>
      <c r="F97">
        <v>36</v>
      </c>
      <c r="G97">
        <v>36</v>
      </c>
      <c r="H97">
        <v>36</v>
      </c>
    </row>
    <row r="98" spans="1:16">
      <c r="A98" s="2" t="s">
        <v>114</v>
      </c>
      <c r="B98" s="2" t="s">
        <v>24</v>
      </c>
      <c r="C98">
        <v>23</v>
      </c>
      <c r="D98">
        <v>23</v>
      </c>
      <c r="E98">
        <v>23</v>
      </c>
      <c r="F98">
        <v>23</v>
      </c>
      <c r="G98">
        <v>23</v>
      </c>
      <c r="H98">
        <v>23</v>
      </c>
    </row>
    <row r="99" spans="1:16">
      <c r="A99" s="2" t="s">
        <v>115</v>
      </c>
      <c r="B99" s="2" t="s">
        <v>24</v>
      </c>
      <c r="C99">
        <v>37</v>
      </c>
      <c r="D99">
        <v>37</v>
      </c>
      <c r="E99">
        <v>37</v>
      </c>
      <c r="F99">
        <v>37</v>
      </c>
      <c r="G99">
        <v>37</v>
      </c>
      <c r="H99">
        <v>37</v>
      </c>
    </row>
    <row r="100" spans="1:16">
      <c r="A100" s="2" t="s">
        <v>116</v>
      </c>
      <c r="B100" s="2" t="s">
        <v>24</v>
      </c>
      <c r="C100">
        <v>145</v>
      </c>
      <c r="D100">
        <v>145</v>
      </c>
      <c r="E100">
        <v>145</v>
      </c>
      <c r="F100">
        <v>145</v>
      </c>
      <c r="G100">
        <v>145</v>
      </c>
      <c r="H100">
        <v>145</v>
      </c>
    </row>
    <row r="101" spans="1:16">
      <c r="A101" s="2" t="s">
        <v>117</v>
      </c>
      <c r="B101" s="2" t="s">
        <v>24</v>
      </c>
      <c r="C101">
        <v>17</v>
      </c>
      <c r="D101">
        <v>17</v>
      </c>
      <c r="E101">
        <v>17</v>
      </c>
      <c r="F101">
        <v>17</v>
      </c>
      <c r="G101">
        <v>17</v>
      </c>
      <c r="H101">
        <v>17</v>
      </c>
    </row>
    <row r="102" spans="1:16">
      <c r="A102" s="2" t="s">
        <v>118</v>
      </c>
      <c r="B102" s="2" t="s">
        <v>24</v>
      </c>
      <c r="C102">
        <v>30</v>
      </c>
      <c r="D102">
        <v>30</v>
      </c>
      <c r="E102">
        <v>30</v>
      </c>
      <c r="F102">
        <v>30</v>
      </c>
      <c r="G102">
        <v>30</v>
      </c>
      <c r="H102">
        <v>30</v>
      </c>
    </row>
    <row r="103" spans="1:16">
      <c r="A103" s="2" t="s">
        <v>119</v>
      </c>
      <c r="B103" s="2" t="s">
        <v>24</v>
      </c>
      <c r="C103">
        <v>38</v>
      </c>
      <c r="D103">
        <v>38</v>
      </c>
      <c r="E103">
        <v>38</v>
      </c>
      <c r="F103">
        <v>38</v>
      </c>
      <c r="G103">
        <v>38</v>
      </c>
      <c r="H103">
        <v>38</v>
      </c>
    </row>
    <row r="104" spans="1:16">
      <c r="A104" s="2" t="s">
        <v>120</v>
      </c>
      <c r="B104" s="2" t="s">
        <v>24</v>
      </c>
      <c r="C104">
        <v>20</v>
      </c>
      <c r="D104">
        <v>20</v>
      </c>
      <c r="E104">
        <v>20</v>
      </c>
      <c r="F104">
        <v>20</v>
      </c>
      <c r="G104">
        <v>20</v>
      </c>
      <c r="H104">
        <v>20</v>
      </c>
    </row>
    <row r="105" spans="1:16">
      <c r="A105" s="2" t="s">
        <v>121</v>
      </c>
      <c r="B105" s="2" t="s">
        <v>24</v>
      </c>
      <c r="I105">
        <v>38</v>
      </c>
      <c r="J105">
        <v>38</v>
      </c>
      <c r="K105">
        <v>38</v>
      </c>
      <c r="L105">
        <v>38</v>
      </c>
      <c r="M105">
        <v>38</v>
      </c>
      <c r="N105">
        <v>38</v>
      </c>
      <c r="O105">
        <v>38</v>
      </c>
      <c r="P105">
        <v>38</v>
      </c>
    </row>
    <row r="106" spans="1:16">
      <c r="A106" s="2" t="s">
        <v>122</v>
      </c>
      <c r="B106" s="2" t="s">
        <v>24</v>
      </c>
      <c r="I106">
        <v>24</v>
      </c>
      <c r="J106">
        <v>24</v>
      </c>
      <c r="K106">
        <v>24</v>
      </c>
      <c r="L106">
        <v>24</v>
      </c>
      <c r="M106">
        <v>24</v>
      </c>
      <c r="N106">
        <v>24</v>
      </c>
      <c r="O106">
        <v>24</v>
      </c>
      <c r="P106">
        <v>24</v>
      </c>
    </row>
    <row r="107" spans="1:16">
      <c r="A107" s="2" t="s">
        <v>123</v>
      </c>
      <c r="B107" s="2" t="s">
        <v>24</v>
      </c>
      <c r="C107">
        <v>38</v>
      </c>
      <c r="D107">
        <v>38</v>
      </c>
      <c r="E107">
        <v>38</v>
      </c>
      <c r="F107">
        <v>38</v>
      </c>
      <c r="G107">
        <v>38</v>
      </c>
      <c r="H107">
        <v>38</v>
      </c>
    </row>
    <row r="108" spans="1:16">
      <c r="A108" s="2" t="s">
        <v>124</v>
      </c>
      <c r="B108" s="2" t="s">
        <v>24</v>
      </c>
      <c r="I108">
        <v>15</v>
      </c>
      <c r="J108">
        <v>15</v>
      </c>
      <c r="K108">
        <v>15</v>
      </c>
      <c r="L108">
        <v>15</v>
      </c>
      <c r="M108">
        <v>21</v>
      </c>
      <c r="N108">
        <v>21</v>
      </c>
      <c r="O108">
        <v>21</v>
      </c>
      <c r="P108">
        <v>21</v>
      </c>
    </row>
    <row r="109" spans="1:16">
      <c r="A109" s="2" t="s">
        <v>125</v>
      </c>
      <c r="B109" s="2" t="s">
        <v>24</v>
      </c>
      <c r="I109">
        <v>41</v>
      </c>
      <c r="J109">
        <v>41</v>
      </c>
      <c r="K109">
        <v>41</v>
      </c>
      <c r="L109">
        <v>41</v>
      </c>
      <c r="M109">
        <v>41</v>
      </c>
      <c r="N109">
        <v>41</v>
      </c>
      <c r="O109">
        <v>41</v>
      </c>
      <c r="P109">
        <v>41</v>
      </c>
    </row>
    <row r="110" spans="1:16">
      <c r="A110" s="2" t="s">
        <v>126</v>
      </c>
      <c r="B110" s="2" t="s">
        <v>24</v>
      </c>
      <c r="I110">
        <v>57</v>
      </c>
      <c r="J110">
        <v>57</v>
      </c>
      <c r="K110">
        <v>57</v>
      </c>
      <c r="L110">
        <v>57</v>
      </c>
      <c r="M110">
        <v>57</v>
      </c>
      <c r="N110">
        <v>57</v>
      </c>
      <c r="O110">
        <v>57</v>
      </c>
      <c r="P110">
        <v>57</v>
      </c>
    </row>
    <row r="111" spans="1:16">
      <c r="A111" s="2" t="s">
        <v>127</v>
      </c>
      <c r="B111" s="2" t="s">
        <v>24</v>
      </c>
      <c r="I111">
        <v>73</v>
      </c>
      <c r="J111">
        <v>73</v>
      </c>
      <c r="K111">
        <v>73</v>
      </c>
      <c r="L111">
        <v>73</v>
      </c>
      <c r="M111">
        <v>73</v>
      </c>
      <c r="N111">
        <v>73</v>
      </c>
      <c r="O111">
        <v>73</v>
      </c>
      <c r="P111">
        <v>73</v>
      </c>
    </row>
    <row r="112" spans="1:16">
      <c r="A112" s="2" t="s">
        <v>128</v>
      </c>
      <c r="B112" s="2" t="s">
        <v>24</v>
      </c>
      <c r="C112">
        <v>24</v>
      </c>
      <c r="D112">
        <v>24</v>
      </c>
      <c r="E112">
        <v>24</v>
      </c>
      <c r="F112">
        <v>24</v>
      </c>
      <c r="G112">
        <v>24</v>
      </c>
      <c r="H112">
        <v>24</v>
      </c>
    </row>
    <row r="113" spans="1:16">
      <c r="A113" s="2" t="s">
        <v>129</v>
      </c>
      <c r="B113" s="2" t="s">
        <v>24</v>
      </c>
      <c r="C113">
        <v>15</v>
      </c>
      <c r="D113">
        <v>15</v>
      </c>
      <c r="E113">
        <v>15</v>
      </c>
      <c r="F113">
        <v>15</v>
      </c>
      <c r="G113">
        <v>15</v>
      </c>
      <c r="H113">
        <v>15</v>
      </c>
    </row>
    <row r="114" spans="1:16">
      <c r="A114" s="2" t="s">
        <v>130</v>
      </c>
      <c r="B114" s="2" t="s">
        <v>24</v>
      </c>
      <c r="C114">
        <v>41</v>
      </c>
      <c r="D114">
        <v>41</v>
      </c>
      <c r="E114">
        <v>41</v>
      </c>
      <c r="F114">
        <v>41</v>
      </c>
      <c r="G114">
        <v>41</v>
      </c>
      <c r="H114">
        <v>41</v>
      </c>
    </row>
    <row r="115" spans="1:16">
      <c r="A115" s="2" t="s">
        <v>131</v>
      </c>
      <c r="B115" s="2" t="s">
        <v>24</v>
      </c>
      <c r="C115">
        <v>57</v>
      </c>
      <c r="D115">
        <v>57</v>
      </c>
      <c r="E115">
        <v>57</v>
      </c>
      <c r="F115">
        <v>57</v>
      </c>
      <c r="G115">
        <v>57</v>
      </c>
      <c r="H115">
        <v>57</v>
      </c>
    </row>
    <row r="116" spans="1:16">
      <c r="A116" s="2" t="s">
        <v>132</v>
      </c>
      <c r="B116" s="2" t="s">
        <v>24</v>
      </c>
      <c r="D116">
        <v>73</v>
      </c>
      <c r="E116">
        <v>73</v>
      </c>
    </row>
    <row r="117" spans="1:16">
      <c r="A117" s="2" t="s">
        <v>133</v>
      </c>
      <c r="B117" s="2" t="s">
        <v>24</v>
      </c>
      <c r="C117">
        <v>73</v>
      </c>
      <c r="F117">
        <v>73</v>
      </c>
      <c r="G117">
        <v>73</v>
      </c>
      <c r="H117">
        <v>73</v>
      </c>
    </row>
    <row r="118" spans="1:16">
      <c r="A118" s="2" t="s">
        <v>134</v>
      </c>
      <c r="B118" s="2" t="s">
        <v>24</v>
      </c>
      <c r="I118">
        <v>30</v>
      </c>
      <c r="J118">
        <v>30</v>
      </c>
      <c r="K118">
        <v>30</v>
      </c>
      <c r="L118">
        <v>30</v>
      </c>
      <c r="M118">
        <v>30</v>
      </c>
      <c r="N118">
        <v>30</v>
      </c>
      <c r="O118">
        <v>30</v>
      </c>
      <c r="P118">
        <v>30</v>
      </c>
    </row>
    <row r="119" spans="1:16">
      <c r="A119" s="2" t="s">
        <v>135</v>
      </c>
      <c r="B119" s="2" t="s">
        <v>24</v>
      </c>
      <c r="I119">
        <v>12</v>
      </c>
      <c r="J119">
        <v>12</v>
      </c>
      <c r="K119">
        <v>12</v>
      </c>
      <c r="L119">
        <v>12</v>
      </c>
      <c r="M119">
        <v>12</v>
      </c>
      <c r="N119">
        <v>12</v>
      </c>
      <c r="O119">
        <v>12</v>
      </c>
      <c r="P119">
        <v>12</v>
      </c>
    </row>
    <row r="120" spans="1:16">
      <c r="A120" s="2" t="s">
        <v>136</v>
      </c>
      <c r="B120" s="2" t="s">
        <v>24</v>
      </c>
      <c r="I120">
        <v>17</v>
      </c>
      <c r="J120">
        <v>17</v>
      </c>
      <c r="K120">
        <v>17</v>
      </c>
      <c r="L120">
        <v>17</v>
      </c>
      <c r="M120">
        <v>17</v>
      </c>
      <c r="N120">
        <v>17</v>
      </c>
      <c r="O120">
        <v>17</v>
      </c>
      <c r="P120">
        <v>17</v>
      </c>
    </row>
    <row r="121" spans="1:16">
      <c r="A121" s="2" t="s">
        <v>137</v>
      </c>
      <c r="B121" s="2" t="s">
        <v>24</v>
      </c>
      <c r="I121">
        <v>30</v>
      </c>
      <c r="J121">
        <v>30</v>
      </c>
      <c r="K121">
        <v>30</v>
      </c>
      <c r="L121">
        <v>30</v>
      </c>
      <c r="M121">
        <v>30</v>
      </c>
      <c r="N121">
        <v>30</v>
      </c>
      <c r="O121">
        <v>30</v>
      </c>
      <c r="P121">
        <v>30</v>
      </c>
    </row>
    <row r="122" spans="1:16">
      <c r="A122" s="2" t="s">
        <v>138</v>
      </c>
      <c r="B122" s="2" t="s">
        <v>24</v>
      </c>
      <c r="C122">
        <v>30</v>
      </c>
      <c r="D122">
        <v>30</v>
      </c>
      <c r="E122">
        <v>30</v>
      </c>
      <c r="F122">
        <v>30</v>
      </c>
      <c r="G122">
        <v>30</v>
      </c>
      <c r="H122">
        <v>30</v>
      </c>
    </row>
    <row r="123" spans="1:16">
      <c r="A123" s="2" t="s">
        <v>139</v>
      </c>
      <c r="B123" s="2" t="s">
        <v>24</v>
      </c>
      <c r="I123">
        <v>19</v>
      </c>
      <c r="J123">
        <v>19</v>
      </c>
      <c r="K123">
        <v>19</v>
      </c>
      <c r="L123">
        <v>19</v>
      </c>
      <c r="M123">
        <v>19</v>
      </c>
      <c r="N123">
        <v>19</v>
      </c>
      <c r="O123">
        <v>19</v>
      </c>
      <c r="P123">
        <v>19</v>
      </c>
    </row>
    <row r="124" spans="1:16">
      <c r="A124" s="2" t="s">
        <v>140</v>
      </c>
      <c r="B124" s="2" t="s">
        <v>24</v>
      </c>
      <c r="I124">
        <v>34</v>
      </c>
      <c r="J124">
        <v>34</v>
      </c>
      <c r="K124">
        <v>34</v>
      </c>
      <c r="L124">
        <v>34</v>
      </c>
      <c r="M124">
        <v>34</v>
      </c>
      <c r="N124">
        <v>34</v>
      </c>
      <c r="O124">
        <v>34</v>
      </c>
      <c r="P124">
        <v>34</v>
      </c>
    </row>
    <row r="125" spans="1:16">
      <c r="A125" s="2" t="s">
        <v>141</v>
      </c>
      <c r="B125" s="2" t="s">
        <v>24</v>
      </c>
      <c r="I125">
        <v>57</v>
      </c>
      <c r="J125">
        <v>57</v>
      </c>
      <c r="K125">
        <v>57</v>
      </c>
      <c r="L125">
        <v>57</v>
      </c>
      <c r="M125">
        <v>57</v>
      </c>
      <c r="N125">
        <v>57</v>
      </c>
      <c r="O125">
        <v>57</v>
      </c>
      <c r="P125">
        <v>57</v>
      </c>
    </row>
    <row r="126" spans="1:16">
      <c r="A126" s="2" t="s">
        <v>142</v>
      </c>
      <c r="B126" s="2" t="s">
        <v>24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</row>
    <row r="127" spans="1:16">
      <c r="A127" s="2" t="s">
        <v>143</v>
      </c>
      <c r="B127" s="2" t="s">
        <v>24</v>
      </c>
      <c r="C127">
        <v>17</v>
      </c>
      <c r="D127">
        <v>17</v>
      </c>
      <c r="E127">
        <v>17</v>
      </c>
      <c r="F127">
        <v>17</v>
      </c>
      <c r="G127">
        <v>17</v>
      </c>
      <c r="H127">
        <v>17</v>
      </c>
    </row>
    <row r="128" spans="1:16">
      <c r="A128" s="2" t="s">
        <v>144</v>
      </c>
      <c r="B128" s="2" t="s">
        <v>24</v>
      </c>
      <c r="C128">
        <v>30</v>
      </c>
      <c r="D128">
        <v>30</v>
      </c>
      <c r="E128">
        <v>30</v>
      </c>
      <c r="F128">
        <v>30</v>
      </c>
      <c r="G128">
        <v>30</v>
      </c>
      <c r="H128">
        <v>30</v>
      </c>
    </row>
    <row r="129" spans="1:16">
      <c r="A129" s="2" t="s">
        <v>145</v>
      </c>
      <c r="B129" s="2" t="s">
        <v>24</v>
      </c>
      <c r="C129">
        <v>19</v>
      </c>
      <c r="D129">
        <v>19</v>
      </c>
      <c r="E129">
        <v>19</v>
      </c>
      <c r="F129">
        <v>19</v>
      </c>
      <c r="G129">
        <v>19</v>
      </c>
      <c r="H129">
        <v>19</v>
      </c>
    </row>
    <row r="130" spans="1:16">
      <c r="A130" s="2" t="s">
        <v>146</v>
      </c>
      <c r="B130" s="2" t="s">
        <v>24</v>
      </c>
      <c r="C130">
        <v>34</v>
      </c>
      <c r="D130">
        <v>34</v>
      </c>
      <c r="E130">
        <v>34</v>
      </c>
      <c r="F130">
        <v>34</v>
      </c>
      <c r="G130">
        <v>34</v>
      </c>
      <c r="H130">
        <v>34</v>
      </c>
    </row>
    <row r="131" spans="1:16">
      <c r="A131" s="2" t="s">
        <v>147</v>
      </c>
      <c r="B131" s="2" t="s">
        <v>24</v>
      </c>
      <c r="C131">
        <v>57</v>
      </c>
      <c r="D131">
        <v>57</v>
      </c>
      <c r="E131">
        <v>57</v>
      </c>
      <c r="F131">
        <v>57</v>
      </c>
      <c r="G131">
        <v>57</v>
      </c>
      <c r="H131">
        <v>57</v>
      </c>
    </row>
    <row r="132" spans="1:16">
      <c r="A132" s="2" t="s">
        <v>148</v>
      </c>
      <c r="B132" s="2" t="s">
        <v>24</v>
      </c>
      <c r="I132">
        <v>6</v>
      </c>
      <c r="J132">
        <v>6</v>
      </c>
      <c r="K132">
        <v>6</v>
      </c>
      <c r="L132">
        <v>6</v>
      </c>
      <c r="M132">
        <v>6</v>
      </c>
      <c r="N132">
        <v>6</v>
      </c>
      <c r="O132">
        <v>6</v>
      </c>
      <c r="P132">
        <v>6</v>
      </c>
    </row>
    <row r="133" spans="1:16">
      <c r="A133" s="2" t="s">
        <v>149</v>
      </c>
      <c r="B133" s="2" t="s">
        <v>24</v>
      </c>
      <c r="I133">
        <v>62</v>
      </c>
      <c r="J133">
        <v>62</v>
      </c>
      <c r="K133">
        <v>62</v>
      </c>
      <c r="L133">
        <v>62</v>
      </c>
      <c r="M133">
        <v>62</v>
      </c>
      <c r="N133">
        <v>62</v>
      </c>
      <c r="O133">
        <v>62</v>
      </c>
      <c r="P133">
        <v>62</v>
      </c>
    </row>
    <row r="134" spans="1:16">
      <c r="A134" s="2" t="s">
        <v>150</v>
      </c>
      <c r="B134" s="2" t="s">
        <v>24</v>
      </c>
      <c r="C134">
        <v>6</v>
      </c>
      <c r="D134">
        <v>6</v>
      </c>
      <c r="E134">
        <v>6</v>
      </c>
      <c r="F134">
        <v>6</v>
      </c>
      <c r="G134">
        <v>6</v>
      </c>
      <c r="H134">
        <v>6</v>
      </c>
    </row>
    <row r="135" spans="1:16">
      <c r="A135" s="2" t="s">
        <v>151</v>
      </c>
      <c r="B135" s="2" t="s">
        <v>24</v>
      </c>
      <c r="C135">
        <v>62</v>
      </c>
      <c r="D135">
        <v>62</v>
      </c>
      <c r="E135">
        <v>62</v>
      </c>
      <c r="F135">
        <v>62</v>
      </c>
      <c r="G135">
        <v>62</v>
      </c>
      <c r="H135">
        <v>62</v>
      </c>
    </row>
    <row r="136" spans="1:16">
      <c r="A136" s="2" t="s">
        <v>152</v>
      </c>
      <c r="B136" s="2" t="s">
        <v>24</v>
      </c>
      <c r="I136">
        <v>103</v>
      </c>
      <c r="J136">
        <v>103</v>
      </c>
      <c r="K136">
        <v>103</v>
      </c>
      <c r="L136">
        <v>103</v>
      </c>
      <c r="M136">
        <v>103</v>
      </c>
      <c r="N136">
        <v>103</v>
      </c>
      <c r="O136">
        <v>103</v>
      </c>
      <c r="P136">
        <v>103</v>
      </c>
    </row>
    <row r="137" spans="1:16">
      <c r="A137" s="2" t="s">
        <v>153</v>
      </c>
      <c r="B137" s="2" t="s">
        <v>24</v>
      </c>
      <c r="C137">
        <v>103</v>
      </c>
      <c r="D137">
        <v>103</v>
      </c>
      <c r="E137">
        <v>103</v>
      </c>
      <c r="F137">
        <v>103</v>
      </c>
      <c r="G137">
        <v>103</v>
      </c>
      <c r="H137">
        <v>103</v>
      </c>
    </row>
    <row r="138" spans="1:16">
      <c r="A138" s="2" t="s">
        <v>154</v>
      </c>
      <c r="B138" s="2" t="s">
        <v>24</v>
      </c>
      <c r="I138">
        <v>14</v>
      </c>
      <c r="J138">
        <v>14</v>
      </c>
      <c r="K138">
        <v>14</v>
      </c>
      <c r="L138">
        <v>14</v>
      </c>
      <c r="M138">
        <v>14</v>
      </c>
      <c r="N138">
        <v>14</v>
      </c>
      <c r="O138">
        <v>14</v>
      </c>
      <c r="P138">
        <v>14</v>
      </c>
    </row>
    <row r="139" spans="1:16">
      <c r="A139" s="2" t="s">
        <v>155</v>
      </c>
      <c r="B139" s="2" t="s">
        <v>24</v>
      </c>
      <c r="I139">
        <v>21</v>
      </c>
      <c r="J139">
        <v>21</v>
      </c>
      <c r="K139">
        <v>21</v>
      </c>
      <c r="L139">
        <v>21</v>
      </c>
      <c r="M139">
        <v>21</v>
      </c>
      <c r="N139">
        <v>21</v>
      </c>
      <c r="O139">
        <v>21</v>
      </c>
      <c r="P139">
        <v>21</v>
      </c>
    </row>
    <row r="140" spans="1:16">
      <c r="A140" s="2" t="s">
        <v>156</v>
      </c>
      <c r="B140" s="2" t="s">
        <v>24</v>
      </c>
      <c r="C140">
        <v>14</v>
      </c>
      <c r="D140">
        <v>14</v>
      </c>
      <c r="E140">
        <v>14</v>
      </c>
      <c r="F140">
        <v>14</v>
      </c>
      <c r="G140">
        <v>14</v>
      </c>
      <c r="H140">
        <v>14</v>
      </c>
    </row>
    <row r="141" spans="1:16">
      <c r="A141" s="2" t="s">
        <v>157</v>
      </c>
      <c r="B141" s="2" t="s">
        <v>24</v>
      </c>
      <c r="C141">
        <v>21</v>
      </c>
      <c r="D141">
        <v>21</v>
      </c>
      <c r="E141">
        <v>21</v>
      </c>
      <c r="F141">
        <v>21</v>
      </c>
      <c r="G141">
        <v>21</v>
      </c>
      <c r="H141">
        <v>21</v>
      </c>
    </row>
    <row r="142" spans="1:16">
      <c r="A142" s="2" t="s">
        <v>158</v>
      </c>
      <c r="B142" s="2" t="s">
        <v>24</v>
      </c>
      <c r="I142">
        <v>32</v>
      </c>
      <c r="J142">
        <v>32</v>
      </c>
      <c r="K142">
        <v>32</v>
      </c>
      <c r="L142">
        <v>32</v>
      </c>
      <c r="M142">
        <v>32</v>
      </c>
      <c r="N142">
        <v>32</v>
      </c>
      <c r="O142">
        <v>32</v>
      </c>
      <c r="P142">
        <v>32</v>
      </c>
    </row>
    <row r="143" spans="1:16">
      <c r="A143" s="2" t="s">
        <v>159</v>
      </c>
      <c r="B143" s="2" t="s">
        <v>24</v>
      </c>
      <c r="I143">
        <v>19</v>
      </c>
      <c r="J143">
        <v>19</v>
      </c>
      <c r="K143">
        <v>19</v>
      </c>
      <c r="L143">
        <v>19</v>
      </c>
      <c r="M143">
        <v>19</v>
      </c>
      <c r="N143">
        <v>19</v>
      </c>
      <c r="O143">
        <v>19</v>
      </c>
      <c r="P143">
        <v>19</v>
      </c>
    </row>
    <row r="144" spans="1:16">
      <c r="A144" s="2" t="s">
        <v>160</v>
      </c>
      <c r="B144" s="2" t="s">
        <v>24</v>
      </c>
      <c r="I144">
        <v>22</v>
      </c>
      <c r="J144">
        <v>22</v>
      </c>
      <c r="K144">
        <v>22</v>
      </c>
      <c r="L144">
        <v>22</v>
      </c>
      <c r="M144">
        <v>22</v>
      </c>
      <c r="N144">
        <v>22</v>
      </c>
      <c r="O144">
        <v>22</v>
      </c>
      <c r="P144">
        <v>22</v>
      </c>
    </row>
    <row r="145" spans="1:16">
      <c r="A145" s="2" t="s">
        <v>161</v>
      </c>
      <c r="B145" s="2" t="s">
        <v>24</v>
      </c>
      <c r="C145">
        <v>32</v>
      </c>
      <c r="D145">
        <v>32</v>
      </c>
      <c r="E145">
        <v>32</v>
      </c>
      <c r="F145">
        <v>32</v>
      </c>
      <c r="G145">
        <v>32</v>
      </c>
      <c r="H145">
        <v>32</v>
      </c>
    </row>
    <row r="146" spans="1:16">
      <c r="A146" s="2" t="s">
        <v>162</v>
      </c>
      <c r="B146" s="2" t="s">
        <v>24</v>
      </c>
      <c r="C146">
        <v>19</v>
      </c>
      <c r="D146">
        <v>19</v>
      </c>
      <c r="E146">
        <v>19</v>
      </c>
      <c r="F146">
        <v>19</v>
      </c>
      <c r="G146">
        <v>19</v>
      </c>
      <c r="H146">
        <v>19</v>
      </c>
    </row>
    <row r="147" spans="1:16">
      <c r="A147" s="2" t="s">
        <v>163</v>
      </c>
      <c r="B147" s="2" t="s">
        <v>24</v>
      </c>
      <c r="C147">
        <v>22</v>
      </c>
      <c r="D147">
        <v>22</v>
      </c>
      <c r="E147">
        <v>22</v>
      </c>
      <c r="F147">
        <v>22</v>
      </c>
      <c r="G147">
        <v>22</v>
      </c>
      <c r="H147">
        <v>22</v>
      </c>
    </row>
    <row r="148" spans="1:16">
      <c r="A148" s="2" t="s">
        <v>164</v>
      </c>
      <c r="B148" s="2" t="s">
        <v>24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</row>
    <row r="149" spans="1:16">
      <c r="A149" s="2" t="s">
        <v>165</v>
      </c>
      <c r="B149" s="2" t="s">
        <v>24</v>
      </c>
      <c r="I149">
        <v>22</v>
      </c>
      <c r="J149">
        <v>22</v>
      </c>
      <c r="K149">
        <v>22</v>
      </c>
      <c r="L149">
        <v>22</v>
      </c>
      <c r="M149">
        <v>22</v>
      </c>
      <c r="N149">
        <v>22</v>
      </c>
      <c r="O149">
        <v>22</v>
      </c>
      <c r="P149">
        <v>22</v>
      </c>
    </row>
    <row r="150" spans="1:16">
      <c r="A150" s="2" t="s">
        <v>166</v>
      </c>
      <c r="B150" s="2" t="s">
        <v>24</v>
      </c>
      <c r="I150">
        <v>18</v>
      </c>
      <c r="J150">
        <v>18</v>
      </c>
      <c r="K150">
        <v>18</v>
      </c>
      <c r="L150">
        <v>18</v>
      </c>
      <c r="M150">
        <v>18</v>
      </c>
      <c r="N150">
        <v>18</v>
      </c>
      <c r="O150">
        <v>18</v>
      </c>
      <c r="P150">
        <v>18</v>
      </c>
    </row>
    <row r="151" spans="1:16">
      <c r="A151" s="2" t="s">
        <v>167</v>
      </c>
      <c r="B151" s="2" t="s">
        <v>24</v>
      </c>
      <c r="C151">
        <v>8</v>
      </c>
      <c r="D151">
        <v>8</v>
      </c>
      <c r="E151">
        <v>8</v>
      </c>
      <c r="F151">
        <v>8</v>
      </c>
      <c r="G151">
        <v>8</v>
      </c>
      <c r="H151">
        <v>8</v>
      </c>
    </row>
    <row r="152" spans="1:16">
      <c r="A152" s="2" t="s">
        <v>168</v>
      </c>
      <c r="B152" s="2" t="s">
        <v>24</v>
      </c>
      <c r="C152">
        <v>22</v>
      </c>
      <c r="D152">
        <v>22</v>
      </c>
      <c r="E152">
        <v>22</v>
      </c>
      <c r="F152">
        <v>22</v>
      </c>
      <c r="G152">
        <v>22</v>
      </c>
      <c r="H152">
        <v>22</v>
      </c>
    </row>
    <row r="153" spans="1:16">
      <c r="A153" s="2" t="s">
        <v>169</v>
      </c>
      <c r="B153" s="2" t="s">
        <v>24</v>
      </c>
      <c r="C153">
        <v>18</v>
      </c>
      <c r="D153">
        <v>18</v>
      </c>
      <c r="E153">
        <v>18</v>
      </c>
      <c r="F153">
        <v>18</v>
      </c>
      <c r="G153">
        <v>18</v>
      </c>
      <c r="H153">
        <v>18</v>
      </c>
    </row>
    <row r="154" spans="1:16">
      <c r="A154" s="2" t="s">
        <v>170</v>
      </c>
      <c r="B154" s="2" t="s">
        <v>24</v>
      </c>
      <c r="I154">
        <v>16</v>
      </c>
      <c r="J154">
        <v>16</v>
      </c>
      <c r="K154">
        <v>16</v>
      </c>
      <c r="L154">
        <v>16</v>
      </c>
      <c r="M154">
        <v>16</v>
      </c>
      <c r="N154">
        <v>16</v>
      </c>
      <c r="O154">
        <v>16</v>
      </c>
      <c r="P154">
        <v>16</v>
      </c>
    </row>
    <row r="155" spans="1:16">
      <c r="A155" s="2" t="s">
        <v>171</v>
      </c>
      <c r="B155" s="2" t="s">
        <v>24</v>
      </c>
      <c r="C155">
        <v>16</v>
      </c>
      <c r="D155">
        <v>16</v>
      </c>
      <c r="E155">
        <v>16</v>
      </c>
      <c r="F155">
        <v>16</v>
      </c>
      <c r="G155">
        <v>16</v>
      </c>
      <c r="H155">
        <v>16</v>
      </c>
    </row>
    <row r="156" spans="1:16">
      <c r="A156" s="2" t="s">
        <v>172</v>
      </c>
      <c r="B156" s="2" t="s">
        <v>24</v>
      </c>
      <c r="I156">
        <v>58</v>
      </c>
      <c r="J156">
        <v>58</v>
      </c>
      <c r="K156">
        <v>58</v>
      </c>
      <c r="L156">
        <v>58</v>
      </c>
      <c r="M156">
        <v>58</v>
      </c>
      <c r="N156">
        <v>58</v>
      </c>
      <c r="O156">
        <v>58</v>
      </c>
      <c r="P156">
        <v>58</v>
      </c>
    </row>
    <row r="157" spans="1:16">
      <c r="A157" s="2" t="s">
        <v>173</v>
      </c>
      <c r="B157" s="2" t="s">
        <v>24</v>
      </c>
      <c r="I157">
        <v>116</v>
      </c>
      <c r="J157">
        <v>116</v>
      </c>
      <c r="K157">
        <v>116</v>
      </c>
      <c r="L157">
        <v>116</v>
      </c>
      <c r="M157">
        <v>116</v>
      </c>
      <c r="N157">
        <v>116</v>
      </c>
      <c r="O157">
        <v>116</v>
      </c>
      <c r="P157">
        <v>116</v>
      </c>
    </row>
    <row r="158" spans="1:16">
      <c r="A158" s="2" t="s">
        <v>174</v>
      </c>
      <c r="B158" s="2" t="s">
        <v>24</v>
      </c>
      <c r="C158">
        <v>66</v>
      </c>
      <c r="D158">
        <v>66</v>
      </c>
      <c r="E158">
        <v>66</v>
      </c>
      <c r="F158">
        <v>66</v>
      </c>
      <c r="G158">
        <v>66</v>
      </c>
      <c r="H158">
        <v>66</v>
      </c>
    </row>
    <row r="159" spans="1:16">
      <c r="A159" s="2" t="s">
        <v>175</v>
      </c>
      <c r="B159" s="2" t="s">
        <v>24</v>
      </c>
      <c r="C159">
        <v>27</v>
      </c>
      <c r="D159">
        <v>27</v>
      </c>
      <c r="E159">
        <v>27</v>
      </c>
      <c r="F159">
        <v>27</v>
      </c>
      <c r="G159">
        <v>27</v>
      </c>
      <c r="H159">
        <v>27</v>
      </c>
    </row>
    <row r="160" spans="1:16">
      <c r="A160" s="2" t="s">
        <v>176</v>
      </c>
      <c r="B160" s="2" t="s">
        <v>24</v>
      </c>
      <c r="I160">
        <v>27</v>
      </c>
      <c r="J160">
        <v>27</v>
      </c>
      <c r="K160">
        <v>27</v>
      </c>
    </row>
    <row r="161" spans="1:16">
      <c r="A161" s="2" t="s">
        <v>177</v>
      </c>
      <c r="B161" s="2" t="s">
        <v>24</v>
      </c>
      <c r="C161">
        <v>58</v>
      </c>
      <c r="D161">
        <v>58</v>
      </c>
      <c r="E161">
        <v>58</v>
      </c>
      <c r="F161">
        <v>58</v>
      </c>
      <c r="G161">
        <v>58</v>
      </c>
      <c r="H161">
        <v>58</v>
      </c>
    </row>
    <row r="162" spans="1:16">
      <c r="A162" s="2" t="s">
        <v>178</v>
      </c>
      <c r="B162" s="2" t="s">
        <v>24</v>
      </c>
      <c r="C162">
        <v>50</v>
      </c>
      <c r="D162">
        <v>50</v>
      </c>
      <c r="E162">
        <v>50</v>
      </c>
      <c r="F162">
        <v>50</v>
      </c>
      <c r="G162">
        <v>50</v>
      </c>
      <c r="H162">
        <v>50</v>
      </c>
    </row>
    <row r="163" spans="1:16">
      <c r="A163" s="2" t="s">
        <v>179</v>
      </c>
      <c r="B163" s="2" t="s">
        <v>24</v>
      </c>
      <c r="I163">
        <v>24</v>
      </c>
      <c r="J163">
        <v>24</v>
      </c>
      <c r="K163">
        <v>24</v>
      </c>
      <c r="L163">
        <v>24</v>
      </c>
      <c r="M163">
        <v>24</v>
      </c>
      <c r="N163">
        <v>24</v>
      </c>
      <c r="O163">
        <v>24</v>
      </c>
      <c r="P163">
        <v>24</v>
      </c>
    </row>
    <row r="164" spans="1:16">
      <c r="A164" s="2" t="s">
        <v>180</v>
      </c>
      <c r="B164" s="2" t="s">
        <v>24</v>
      </c>
      <c r="I164">
        <v>65</v>
      </c>
      <c r="J164">
        <v>65</v>
      </c>
      <c r="K164">
        <v>65</v>
      </c>
      <c r="L164">
        <v>65</v>
      </c>
      <c r="M164">
        <v>65</v>
      </c>
      <c r="N164">
        <v>65</v>
      </c>
      <c r="O164">
        <v>65</v>
      </c>
      <c r="P164">
        <v>65</v>
      </c>
    </row>
    <row r="165" spans="1:16">
      <c r="A165" s="2" t="s">
        <v>181</v>
      </c>
      <c r="B165" s="2" t="s">
        <v>24</v>
      </c>
      <c r="C165">
        <v>24</v>
      </c>
      <c r="D165">
        <v>24</v>
      </c>
      <c r="E165">
        <v>24</v>
      </c>
      <c r="F165">
        <v>24</v>
      </c>
      <c r="G165">
        <v>24</v>
      </c>
      <c r="H165">
        <v>24</v>
      </c>
    </row>
    <row r="166" spans="1:16">
      <c r="A166" s="2" t="s">
        <v>182</v>
      </c>
      <c r="B166" s="2" t="s">
        <v>24</v>
      </c>
      <c r="C166">
        <v>65</v>
      </c>
      <c r="D166">
        <v>65</v>
      </c>
      <c r="E166">
        <v>65</v>
      </c>
      <c r="F166">
        <v>65</v>
      </c>
      <c r="G166">
        <v>65</v>
      </c>
      <c r="H166">
        <v>65</v>
      </c>
    </row>
    <row r="167" spans="1:16">
      <c r="A167" s="2" t="s">
        <v>183</v>
      </c>
      <c r="B167" s="2" t="s">
        <v>24</v>
      </c>
      <c r="I167">
        <v>34</v>
      </c>
      <c r="J167">
        <v>34</v>
      </c>
      <c r="K167">
        <v>34</v>
      </c>
      <c r="L167">
        <v>34</v>
      </c>
      <c r="M167">
        <v>34</v>
      </c>
      <c r="N167">
        <v>34</v>
      </c>
      <c r="O167">
        <v>34</v>
      </c>
      <c r="P167">
        <v>34</v>
      </c>
    </row>
    <row r="168" spans="1:16">
      <c r="A168" s="2" t="s">
        <v>184</v>
      </c>
      <c r="B168" s="2" t="s">
        <v>24</v>
      </c>
      <c r="I168">
        <v>28</v>
      </c>
      <c r="J168">
        <v>28</v>
      </c>
      <c r="K168">
        <v>28</v>
      </c>
      <c r="L168">
        <v>28</v>
      </c>
      <c r="M168">
        <v>28</v>
      </c>
      <c r="N168">
        <v>28</v>
      </c>
      <c r="O168">
        <v>28</v>
      </c>
      <c r="P168">
        <v>28</v>
      </c>
    </row>
    <row r="169" spans="1:16">
      <c r="A169" s="2" t="s">
        <v>185</v>
      </c>
      <c r="B169" s="2" t="s">
        <v>24</v>
      </c>
      <c r="C169">
        <v>34</v>
      </c>
      <c r="D169">
        <v>34</v>
      </c>
      <c r="E169">
        <v>34</v>
      </c>
      <c r="F169">
        <v>34</v>
      </c>
      <c r="G169">
        <v>34</v>
      </c>
      <c r="H169">
        <v>34</v>
      </c>
    </row>
    <row r="170" spans="1:16">
      <c r="A170" s="2" t="s">
        <v>186</v>
      </c>
      <c r="B170" s="2" t="s">
        <v>24</v>
      </c>
      <c r="C170">
        <v>28</v>
      </c>
      <c r="D170">
        <v>28</v>
      </c>
      <c r="E170">
        <v>28</v>
      </c>
      <c r="F170">
        <v>28</v>
      </c>
      <c r="G170">
        <v>28</v>
      </c>
      <c r="H170">
        <v>28</v>
      </c>
    </row>
    <row r="171" spans="1:16">
      <c r="A171" s="2" t="s">
        <v>187</v>
      </c>
      <c r="B171" s="2" t="s">
        <v>24</v>
      </c>
      <c r="I171">
        <v>74</v>
      </c>
      <c r="J171">
        <v>74</v>
      </c>
      <c r="K171">
        <v>74</v>
      </c>
      <c r="L171">
        <v>74</v>
      </c>
      <c r="M171">
        <v>74</v>
      </c>
      <c r="N171">
        <v>74</v>
      </c>
      <c r="O171">
        <v>74</v>
      </c>
      <c r="P171">
        <v>74</v>
      </c>
    </row>
    <row r="172" spans="1:16">
      <c r="A172" s="2" t="s">
        <v>188</v>
      </c>
      <c r="B172" s="2" t="s">
        <v>24</v>
      </c>
      <c r="C172">
        <v>74</v>
      </c>
      <c r="D172">
        <v>74</v>
      </c>
      <c r="E172">
        <v>74</v>
      </c>
      <c r="F172">
        <v>74</v>
      </c>
      <c r="G172">
        <v>74</v>
      </c>
      <c r="H172">
        <v>74</v>
      </c>
    </row>
    <row r="173" spans="1:16">
      <c r="A173" s="2" t="s">
        <v>189</v>
      </c>
      <c r="B173" s="2" t="s">
        <v>24</v>
      </c>
      <c r="I173">
        <v>21</v>
      </c>
      <c r="J173">
        <v>21</v>
      </c>
      <c r="K173">
        <v>21</v>
      </c>
      <c r="L173">
        <v>21</v>
      </c>
      <c r="M173">
        <v>21</v>
      </c>
      <c r="N173">
        <v>21</v>
      </c>
      <c r="O173">
        <v>21</v>
      </c>
      <c r="P173">
        <v>21</v>
      </c>
    </row>
    <row r="174" spans="1:16">
      <c r="A174" s="2" t="s">
        <v>190</v>
      </c>
      <c r="B174" s="2" t="s">
        <v>24</v>
      </c>
      <c r="I174">
        <v>21</v>
      </c>
      <c r="J174">
        <v>21</v>
      </c>
      <c r="K174">
        <v>21</v>
      </c>
      <c r="L174">
        <v>21</v>
      </c>
      <c r="M174">
        <v>21</v>
      </c>
      <c r="N174">
        <v>21</v>
      </c>
      <c r="O174">
        <v>21</v>
      </c>
      <c r="P174">
        <v>21</v>
      </c>
    </row>
    <row r="175" spans="1:16">
      <c r="A175" s="2" t="s">
        <v>191</v>
      </c>
      <c r="B175" s="2" t="s">
        <v>24</v>
      </c>
      <c r="I175">
        <v>45</v>
      </c>
      <c r="J175">
        <v>45</v>
      </c>
      <c r="K175">
        <v>45</v>
      </c>
      <c r="L175">
        <v>45</v>
      </c>
      <c r="M175">
        <v>45</v>
      </c>
      <c r="N175">
        <v>45</v>
      </c>
      <c r="O175">
        <v>45</v>
      </c>
      <c r="P175">
        <v>45</v>
      </c>
    </row>
    <row r="176" spans="1:16">
      <c r="A176" s="2" t="s">
        <v>192</v>
      </c>
      <c r="B176" s="2" t="s">
        <v>24</v>
      </c>
      <c r="C176">
        <v>21</v>
      </c>
      <c r="D176">
        <v>21</v>
      </c>
      <c r="E176">
        <v>21</v>
      </c>
      <c r="F176">
        <v>21</v>
      </c>
      <c r="G176">
        <v>21</v>
      </c>
      <c r="H176">
        <v>21</v>
      </c>
    </row>
    <row r="177" spans="1:16">
      <c r="A177" s="2" t="s">
        <v>193</v>
      </c>
      <c r="B177" s="2" t="s">
        <v>24</v>
      </c>
      <c r="C177">
        <v>21</v>
      </c>
      <c r="D177">
        <v>21</v>
      </c>
      <c r="E177">
        <v>21</v>
      </c>
      <c r="F177">
        <v>21</v>
      </c>
      <c r="G177">
        <v>21</v>
      </c>
      <c r="H177">
        <v>21</v>
      </c>
    </row>
    <row r="178" spans="1:16">
      <c r="A178" s="2" t="s">
        <v>194</v>
      </c>
      <c r="B178" s="2" t="s">
        <v>24</v>
      </c>
      <c r="C178">
        <v>45</v>
      </c>
      <c r="D178">
        <v>45</v>
      </c>
      <c r="E178">
        <v>45</v>
      </c>
      <c r="F178">
        <v>45</v>
      </c>
      <c r="G178">
        <v>45</v>
      </c>
      <c r="H178">
        <v>45</v>
      </c>
    </row>
    <row r="179" spans="1:16">
      <c r="A179" s="2" t="s">
        <v>195</v>
      </c>
      <c r="B179" s="2" t="s">
        <v>24</v>
      </c>
      <c r="I179">
        <v>32</v>
      </c>
      <c r="J179">
        <v>32</v>
      </c>
      <c r="K179">
        <v>32</v>
      </c>
      <c r="L179">
        <v>32</v>
      </c>
      <c r="M179">
        <v>32</v>
      </c>
      <c r="N179">
        <v>32</v>
      </c>
      <c r="O179">
        <v>32</v>
      </c>
      <c r="P179">
        <v>32</v>
      </c>
    </row>
    <row r="180" spans="1:16">
      <c r="A180" s="2" t="s">
        <v>196</v>
      </c>
      <c r="B180" s="2" t="s">
        <v>24</v>
      </c>
      <c r="I180">
        <v>36</v>
      </c>
      <c r="J180">
        <v>36</v>
      </c>
      <c r="K180">
        <v>36</v>
      </c>
      <c r="L180">
        <v>36</v>
      </c>
      <c r="M180">
        <v>36</v>
      </c>
      <c r="N180">
        <v>36</v>
      </c>
      <c r="O180">
        <v>36</v>
      </c>
      <c r="P180">
        <v>36</v>
      </c>
    </row>
    <row r="181" spans="1:16">
      <c r="A181" s="2" t="s">
        <v>197</v>
      </c>
      <c r="B181" s="2" t="s">
        <v>24</v>
      </c>
      <c r="C181">
        <v>32</v>
      </c>
      <c r="D181">
        <v>32</v>
      </c>
      <c r="E181">
        <v>32</v>
      </c>
      <c r="F181">
        <v>32</v>
      </c>
      <c r="G181">
        <v>32</v>
      </c>
      <c r="H181">
        <v>32</v>
      </c>
    </row>
    <row r="182" spans="1:16">
      <c r="A182" s="2" t="s">
        <v>198</v>
      </c>
      <c r="B182" s="2" t="s">
        <v>24</v>
      </c>
      <c r="C182">
        <v>36</v>
      </c>
      <c r="D182">
        <v>36</v>
      </c>
      <c r="E182">
        <v>36</v>
      </c>
      <c r="F182">
        <v>36</v>
      </c>
      <c r="G182">
        <v>36</v>
      </c>
      <c r="H182">
        <v>36</v>
      </c>
    </row>
    <row r="183" spans="1:16">
      <c r="A183" s="2" t="s">
        <v>199</v>
      </c>
      <c r="B183" s="2" t="s">
        <v>24</v>
      </c>
      <c r="I183">
        <v>92</v>
      </c>
      <c r="J183">
        <v>92</v>
      </c>
      <c r="K183">
        <v>92</v>
      </c>
      <c r="L183">
        <v>92</v>
      </c>
      <c r="M183">
        <v>92</v>
      </c>
      <c r="N183">
        <v>92</v>
      </c>
      <c r="O183">
        <v>92</v>
      </c>
      <c r="P183">
        <v>92</v>
      </c>
    </row>
    <row r="184" spans="1:16">
      <c r="A184" s="2" t="s">
        <v>200</v>
      </c>
      <c r="B184" s="2" t="s">
        <v>24</v>
      </c>
      <c r="C184">
        <v>92</v>
      </c>
      <c r="D184">
        <v>92</v>
      </c>
      <c r="E184">
        <v>92</v>
      </c>
      <c r="F184">
        <v>92</v>
      </c>
      <c r="G184">
        <v>92</v>
      </c>
      <c r="H184">
        <v>92</v>
      </c>
    </row>
    <row r="185" spans="1:16">
      <c r="A185" s="2" t="s">
        <v>201</v>
      </c>
      <c r="B185" s="2" t="s">
        <v>24</v>
      </c>
      <c r="I185">
        <v>16</v>
      </c>
      <c r="J185">
        <v>16</v>
      </c>
      <c r="K185">
        <v>16</v>
      </c>
      <c r="L185">
        <v>16</v>
      </c>
      <c r="M185">
        <v>16</v>
      </c>
      <c r="N185">
        <v>16</v>
      </c>
      <c r="O185">
        <v>16</v>
      </c>
      <c r="P185">
        <v>16</v>
      </c>
    </row>
    <row r="186" spans="1:16">
      <c r="A186" s="2" t="s">
        <v>202</v>
      </c>
      <c r="B186" s="2" t="s">
        <v>24</v>
      </c>
      <c r="C186">
        <v>16</v>
      </c>
      <c r="D186">
        <v>16</v>
      </c>
      <c r="E186">
        <v>16</v>
      </c>
      <c r="F186">
        <v>16</v>
      </c>
      <c r="G186">
        <v>16</v>
      </c>
      <c r="H186">
        <v>16</v>
      </c>
    </row>
    <row r="187" spans="1:16">
      <c r="A187" s="2" t="s">
        <v>203</v>
      </c>
      <c r="B187" s="2" t="s">
        <v>24</v>
      </c>
      <c r="I187">
        <v>400</v>
      </c>
      <c r="J187">
        <v>400</v>
      </c>
      <c r="K187">
        <v>400</v>
      </c>
      <c r="L187">
        <v>400</v>
      </c>
      <c r="M187">
        <v>400</v>
      </c>
      <c r="N187">
        <v>400</v>
      </c>
      <c r="O187">
        <v>400</v>
      </c>
      <c r="P187">
        <v>400</v>
      </c>
    </row>
    <row r="188" spans="1:16">
      <c r="A188" s="2" t="s">
        <v>204</v>
      </c>
      <c r="B188" s="2" t="s">
        <v>24</v>
      </c>
      <c r="C188">
        <v>400</v>
      </c>
      <c r="D188">
        <v>400</v>
      </c>
      <c r="E188">
        <v>400</v>
      </c>
      <c r="F188">
        <v>400</v>
      </c>
      <c r="G188">
        <v>400</v>
      </c>
      <c r="H188">
        <v>400</v>
      </c>
    </row>
    <row r="189" spans="1:16">
      <c r="A189" s="2" t="s">
        <v>205</v>
      </c>
      <c r="B189" s="2" t="s">
        <v>24</v>
      </c>
      <c r="I189">
        <v>15</v>
      </c>
      <c r="J189">
        <v>15</v>
      </c>
      <c r="K189">
        <v>15</v>
      </c>
      <c r="L189">
        <v>15</v>
      </c>
      <c r="M189">
        <v>15</v>
      </c>
      <c r="N189">
        <v>15</v>
      </c>
      <c r="O189">
        <v>15</v>
      </c>
      <c r="P189">
        <v>15</v>
      </c>
    </row>
    <row r="190" spans="1:16">
      <c r="A190" s="2" t="s">
        <v>206</v>
      </c>
      <c r="B190" s="2" t="s">
        <v>24</v>
      </c>
      <c r="C190">
        <v>15</v>
      </c>
      <c r="D190">
        <v>15</v>
      </c>
      <c r="E190">
        <v>15</v>
      </c>
      <c r="F190">
        <v>15</v>
      </c>
      <c r="G190">
        <v>15</v>
      </c>
      <c r="H190">
        <v>15</v>
      </c>
    </row>
    <row r="191" spans="1:16">
      <c r="A191" s="2" t="s">
        <v>207</v>
      </c>
      <c r="B191" s="2" t="s">
        <v>24</v>
      </c>
      <c r="I191">
        <v>24</v>
      </c>
      <c r="J191">
        <v>24</v>
      </c>
      <c r="K191">
        <v>24</v>
      </c>
      <c r="L191">
        <v>24</v>
      </c>
      <c r="M191">
        <v>24</v>
      </c>
      <c r="N191">
        <v>24</v>
      </c>
      <c r="O191">
        <v>24</v>
      </c>
      <c r="P191">
        <v>24</v>
      </c>
    </row>
    <row r="192" spans="1:16">
      <c r="A192" s="2" t="s">
        <v>208</v>
      </c>
      <c r="B192" s="2" t="s">
        <v>24</v>
      </c>
      <c r="C192">
        <v>24</v>
      </c>
      <c r="D192">
        <v>24</v>
      </c>
      <c r="E192">
        <v>24</v>
      </c>
      <c r="F192">
        <v>24</v>
      </c>
      <c r="G192">
        <v>24</v>
      </c>
      <c r="H192">
        <v>24</v>
      </c>
    </row>
    <row r="193" spans="1:16">
      <c r="A193" s="2" t="s">
        <v>209</v>
      </c>
      <c r="B193" s="2" t="s">
        <v>24</v>
      </c>
      <c r="I193">
        <v>20</v>
      </c>
      <c r="J193">
        <v>20</v>
      </c>
      <c r="K193">
        <v>20</v>
      </c>
      <c r="L193">
        <v>20</v>
      </c>
      <c r="M193">
        <v>20</v>
      </c>
      <c r="N193">
        <v>20</v>
      </c>
      <c r="O193">
        <v>20</v>
      </c>
      <c r="P193">
        <v>20</v>
      </c>
    </row>
    <row r="194" spans="1:16">
      <c r="A194" s="2" t="s">
        <v>210</v>
      </c>
      <c r="B194" s="2" t="s">
        <v>24</v>
      </c>
      <c r="C194">
        <v>20</v>
      </c>
      <c r="D194">
        <v>20</v>
      </c>
      <c r="E194">
        <v>20</v>
      </c>
      <c r="F194">
        <v>20</v>
      </c>
      <c r="G194">
        <v>20</v>
      </c>
      <c r="H194">
        <v>20</v>
      </c>
    </row>
    <row r="195" spans="1:16">
      <c r="A195" s="2" t="s">
        <v>211</v>
      </c>
      <c r="B195" s="2" t="s">
        <v>24</v>
      </c>
      <c r="I195">
        <v>23</v>
      </c>
      <c r="J195">
        <v>23</v>
      </c>
      <c r="K195">
        <v>23</v>
      </c>
      <c r="L195">
        <v>23</v>
      </c>
      <c r="M195">
        <v>23</v>
      </c>
      <c r="N195">
        <v>23</v>
      </c>
      <c r="O195">
        <v>23</v>
      </c>
      <c r="P195">
        <v>23</v>
      </c>
    </row>
    <row r="196" spans="1:16">
      <c r="A196" s="2" t="s">
        <v>212</v>
      </c>
      <c r="B196" s="2" t="s">
        <v>24</v>
      </c>
      <c r="C196">
        <v>23</v>
      </c>
      <c r="D196">
        <v>23</v>
      </c>
      <c r="E196">
        <v>23</v>
      </c>
      <c r="F196">
        <v>23</v>
      </c>
      <c r="G196">
        <v>23</v>
      </c>
      <c r="H196">
        <v>23</v>
      </c>
    </row>
    <row r="197" spans="1:16">
      <c r="A197" s="2" t="s">
        <v>213</v>
      </c>
      <c r="B197" s="2" t="s">
        <v>24</v>
      </c>
      <c r="I197">
        <v>45</v>
      </c>
      <c r="J197">
        <v>45</v>
      </c>
      <c r="K197">
        <v>45</v>
      </c>
      <c r="L197">
        <v>45</v>
      </c>
      <c r="M197">
        <v>45</v>
      </c>
      <c r="N197">
        <v>45</v>
      </c>
      <c r="O197">
        <v>45</v>
      </c>
      <c r="P197">
        <v>45</v>
      </c>
    </row>
    <row r="198" spans="1:16">
      <c r="A198" s="2" t="s">
        <v>214</v>
      </c>
      <c r="B198" s="2" t="s">
        <v>24</v>
      </c>
      <c r="C198">
        <v>45</v>
      </c>
      <c r="D198">
        <v>45</v>
      </c>
      <c r="E198">
        <v>45</v>
      </c>
      <c r="F198">
        <v>45</v>
      </c>
      <c r="G198">
        <v>45</v>
      </c>
      <c r="H198">
        <v>45</v>
      </c>
    </row>
    <row r="199" spans="1:16">
      <c r="A199" s="2" t="s">
        <v>215</v>
      </c>
      <c r="B199" s="2" t="s">
        <v>24</v>
      </c>
      <c r="I199">
        <v>110</v>
      </c>
      <c r="J199">
        <v>110</v>
      </c>
      <c r="K199">
        <v>110</v>
      </c>
      <c r="L199">
        <v>110</v>
      </c>
      <c r="M199">
        <v>110</v>
      </c>
      <c r="N199">
        <v>110</v>
      </c>
      <c r="O199">
        <v>110</v>
      </c>
      <c r="P199">
        <v>110</v>
      </c>
    </row>
    <row r="200" spans="1:16">
      <c r="A200" s="2" t="s">
        <v>216</v>
      </c>
      <c r="B200" s="2" t="s">
        <v>24</v>
      </c>
      <c r="C200">
        <v>110</v>
      </c>
      <c r="D200">
        <v>110</v>
      </c>
      <c r="E200">
        <v>110</v>
      </c>
      <c r="F200">
        <v>110</v>
      </c>
      <c r="G200">
        <v>110</v>
      </c>
      <c r="H200">
        <v>110</v>
      </c>
    </row>
    <row r="201" spans="1:16">
      <c r="A201" s="2" t="s">
        <v>217</v>
      </c>
      <c r="B201" s="2" t="s">
        <v>24</v>
      </c>
      <c r="I201">
        <v>449</v>
      </c>
      <c r="J201">
        <v>449</v>
      </c>
      <c r="K201">
        <v>449</v>
      </c>
      <c r="L201">
        <v>449</v>
      </c>
      <c r="M201">
        <v>449</v>
      </c>
      <c r="N201">
        <v>449</v>
      </c>
      <c r="O201">
        <v>449</v>
      </c>
      <c r="P201">
        <v>449</v>
      </c>
    </row>
    <row r="202" spans="1:16">
      <c r="A202" s="2" t="s">
        <v>218</v>
      </c>
      <c r="B202" s="2" t="s">
        <v>24</v>
      </c>
      <c r="C202">
        <v>449</v>
      </c>
      <c r="D202">
        <v>449</v>
      </c>
      <c r="E202">
        <v>449</v>
      </c>
      <c r="F202">
        <v>449</v>
      </c>
      <c r="G202">
        <v>449</v>
      </c>
      <c r="H202">
        <v>449</v>
      </c>
    </row>
    <row r="203" spans="1:16">
      <c r="A203" s="2" t="s">
        <v>219</v>
      </c>
      <c r="B203" s="2" t="s">
        <v>24</v>
      </c>
      <c r="I203">
        <v>332</v>
      </c>
      <c r="J203">
        <v>332</v>
      </c>
      <c r="K203">
        <v>332</v>
      </c>
      <c r="L203">
        <v>332</v>
      </c>
      <c r="M203">
        <v>332</v>
      </c>
      <c r="N203">
        <v>332</v>
      </c>
      <c r="O203">
        <v>332</v>
      </c>
      <c r="P203">
        <v>332</v>
      </c>
    </row>
    <row r="204" spans="1:16">
      <c r="A204" s="2" t="s">
        <v>220</v>
      </c>
      <c r="B204" s="2" t="s">
        <v>24</v>
      </c>
      <c r="C204">
        <v>332</v>
      </c>
      <c r="D204">
        <v>332</v>
      </c>
      <c r="E204">
        <v>332</v>
      </c>
      <c r="F204">
        <v>332</v>
      </c>
      <c r="G204">
        <v>332</v>
      </c>
      <c r="H204">
        <v>332</v>
      </c>
    </row>
    <row r="205" spans="1:16">
      <c r="A205" s="2" t="s">
        <v>221</v>
      </c>
      <c r="B205" s="2" t="s">
        <v>24</v>
      </c>
      <c r="D205">
        <v>90</v>
      </c>
      <c r="E205">
        <v>90</v>
      </c>
    </row>
    <row r="206" spans="1:16">
      <c r="A206" s="2" t="s">
        <v>222</v>
      </c>
      <c r="B206" s="2" t="s">
        <v>24</v>
      </c>
      <c r="C206">
        <v>90</v>
      </c>
      <c r="F206">
        <v>90</v>
      </c>
      <c r="G206">
        <v>90</v>
      </c>
      <c r="H206">
        <v>77</v>
      </c>
    </row>
    <row r="207" spans="1:16">
      <c r="A207" s="2" t="s">
        <v>223</v>
      </c>
      <c r="B207" s="2" t="s">
        <v>24</v>
      </c>
      <c r="I207">
        <v>77</v>
      </c>
      <c r="J207">
        <v>82</v>
      </c>
      <c r="K207">
        <v>82</v>
      </c>
      <c r="L207">
        <v>82</v>
      </c>
      <c r="M207">
        <v>82</v>
      </c>
      <c r="N207">
        <v>82</v>
      </c>
      <c r="O207">
        <v>82</v>
      </c>
      <c r="P207">
        <v>82</v>
      </c>
    </row>
    <row r="208" spans="1:16">
      <c r="A208" s="2" t="s">
        <v>224</v>
      </c>
      <c r="B208" s="2" t="s">
        <v>24</v>
      </c>
      <c r="I208">
        <v>22</v>
      </c>
      <c r="J208">
        <v>22</v>
      </c>
      <c r="K208">
        <v>22</v>
      </c>
      <c r="L208">
        <v>22</v>
      </c>
      <c r="M208">
        <v>22</v>
      </c>
      <c r="N208">
        <v>22</v>
      </c>
      <c r="O208">
        <v>22</v>
      </c>
      <c r="P208">
        <v>22</v>
      </c>
    </row>
    <row r="209" spans="1:16">
      <c r="A209" s="2" t="s">
        <v>225</v>
      </c>
      <c r="B209" s="2" t="s">
        <v>24</v>
      </c>
      <c r="I209">
        <v>12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</row>
    <row r="210" spans="1:16">
      <c r="A210" s="2" t="s">
        <v>226</v>
      </c>
      <c r="B210" s="2" t="s">
        <v>24</v>
      </c>
      <c r="I210">
        <v>43</v>
      </c>
      <c r="J210">
        <v>43</v>
      </c>
      <c r="K210">
        <v>43</v>
      </c>
      <c r="L210">
        <v>43</v>
      </c>
      <c r="M210">
        <v>43</v>
      </c>
      <c r="N210">
        <v>43</v>
      </c>
      <c r="O210">
        <v>43</v>
      </c>
      <c r="P210">
        <v>43</v>
      </c>
    </row>
    <row r="211" spans="1:16">
      <c r="A211" s="2" t="s">
        <v>227</v>
      </c>
      <c r="B211" s="2" t="s">
        <v>24</v>
      </c>
      <c r="I211">
        <v>100</v>
      </c>
      <c r="J211">
        <v>100</v>
      </c>
      <c r="K211">
        <v>100</v>
      </c>
      <c r="L211">
        <v>100</v>
      </c>
      <c r="M211">
        <v>100</v>
      </c>
      <c r="N211">
        <v>100</v>
      </c>
      <c r="O211">
        <v>100</v>
      </c>
      <c r="P211">
        <v>100</v>
      </c>
    </row>
    <row r="212" spans="1:16">
      <c r="A212" s="2" t="s">
        <v>228</v>
      </c>
      <c r="B212" s="2" t="s">
        <v>24</v>
      </c>
      <c r="I212">
        <v>39</v>
      </c>
      <c r="J212">
        <v>39</v>
      </c>
      <c r="K212">
        <v>39</v>
      </c>
      <c r="L212">
        <v>39</v>
      </c>
      <c r="M212">
        <v>39</v>
      </c>
      <c r="N212">
        <v>39</v>
      </c>
      <c r="O212">
        <v>39</v>
      </c>
      <c r="P212">
        <v>39</v>
      </c>
    </row>
    <row r="213" spans="1:16">
      <c r="A213" s="2" t="s">
        <v>229</v>
      </c>
      <c r="B213" s="2" t="s">
        <v>24</v>
      </c>
      <c r="C213">
        <v>22</v>
      </c>
      <c r="D213">
        <v>22</v>
      </c>
      <c r="E213">
        <v>22</v>
      </c>
      <c r="F213">
        <v>22</v>
      </c>
      <c r="G213">
        <v>22</v>
      </c>
      <c r="H213">
        <v>22</v>
      </c>
    </row>
    <row r="214" spans="1:16">
      <c r="A214" s="2" t="s">
        <v>230</v>
      </c>
      <c r="B214" s="2" t="s">
        <v>24</v>
      </c>
      <c r="C214">
        <v>12</v>
      </c>
      <c r="D214">
        <v>12</v>
      </c>
      <c r="E214">
        <v>12</v>
      </c>
      <c r="F214">
        <v>12</v>
      </c>
      <c r="G214">
        <v>12</v>
      </c>
      <c r="H214">
        <v>12</v>
      </c>
    </row>
    <row r="215" spans="1:16">
      <c r="A215" s="2" t="s">
        <v>231</v>
      </c>
      <c r="B215" s="2" t="s">
        <v>24</v>
      </c>
      <c r="C215">
        <v>43</v>
      </c>
      <c r="D215">
        <v>43</v>
      </c>
      <c r="E215">
        <v>43</v>
      </c>
      <c r="F215">
        <v>43</v>
      </c>
      <c r="G215">
        <v>43</v>
      </c>
      <c r="H215">
        <v>43</v>
      </c>
    </row>
    <row r="216" spans="1:16">
      <c r="A216" s="2" t="s">
        <v>232</v>
      </c>
      <c r="B216" s="2" t="s">
        <v>24</v>
      </c>
      <c r="C216">
        <v>100</v>
      </c>
      <c r="D216">
        <v>100</v>
      </c>
      <c r="E216">
        <v>100</v>
      </c>
      <c r="F216">
        <v>100</v>
      </c>
      <c r="G216">
        <v>100</v>
      </c>
      <c r="H216">
        <v>100</v>
      </c>
    </row>
    <row r="217" spans="1:16">
      <c r="A217" s="2" t="s">
        <v>233</v>
      </c>
      <c r="B217" s="2" t="s">
        <v>24</v>
      </c>
      <c r="C217">
        <v>39</v>
      </c>
      <c r="D217">
        <v>39</v>
      </c>
      <c r="E217">
        <v>39</v>
      </c>
      <c r="F217">
        <v>39</v>
      </c>
      <c r="G217">
        <v>39</v>
      </c>
      <c r="H217">
        <v>39</v>
      </c>
    </row>
    <row r="218" spans="1:16">
      <c r="A218" s="2" t="s">
        <v>234</v>
      </c>
      <c r="B218" s="2" t="s">
        <v>24</v>
      </c>
      <c r="I218">
        <v>32</v>
      </c>
      <c r="J218">
        <v>32</v>
      </c>
      <c r="K218">
        <v>32</v>
      </c>
      <c r="L218">
        <v>32</v>
      </c>
      <c r="M218">
        <v>32</v>
      </c>
      <c r="N218">
        <v>32</v>
      </c>
      <c r="O218">
        <v>32</v>
      </c>
      <c r="P218">
        <v>32</v>
      </c>
    </row>
    <row r="219" spans="1:16">
      <c r="A219" s="2" t="s">
        <v>235</v>
      </c>
      <c r="B219" s="2" t="s">
        <v>24</v>
      </c>
      <c r="I219">
        <v>15</v>
      </c>
      <c r="J219">
        <v>15</v>
      </c>
      <c r="K219">
        <v>15</v>
      </c>
      <c r="L219">
        <v>15</v>
      </c>
      <c r="M219">
        <v>15</v>
      </c>
      <c r="N219">
        <v>15</v>
      </c>
      <c r="O219">
        <v>15</v>
      </c>
      <c r="P219">
        <v>15</v>
      </c>
    </row>
    <row r="220" spans="1:16">
      <c r="A220" s="2" t="s">
        <v>236</v>
      </c>
      <c r="B220" s="2" t="s">
        <v>24</v>
      </c>
      <c r="I220">
        <v>15</v>
      </c>
      <c r="J220">
        <v>15</v>
      </c>
      <c r="K220">
        <v>15</v>
      </c>
      <c r="L220">
        <v>15</v>
      </c>
      <c r="M220">
        <v>15</v>
      </c>
      <c r="N220">
        <v>15</v>
      </c>
      <c r="O220">
        <v>15</v>
      </c>
      <c r="P220">
        <v>15</v>
      </c>
    </row>
    <row r="221" spans="1:16">
      <c r="A221" s="2" t="s">
        <v>237</v>
      </c>
      <c r="B221" s="2" t="s">
        <v>24</v>
      </c>
      <c r="C221">
        <v>15</v>
      </c>
      <c r="D221">
        <v>15</v>
      </c>
      <c r="E221">
        <v>15</v>
      </c>
      <c r="F221">
        <v>15</v>
      </c>
      <c r="G221">
        <v>15</v>
      </c>
      <c r="H221">
        <v>15</v>
      </c>
    </row>
    <row r="222" spans="1:16">
      <c r="A222" s="2" t="s">
        <v>238</v>
      </c>
      <c r="B222" s="2" t="s">
        <v>24</v>
      </c>
      <c r="C222">
        <v>15</v>
      </c>
      <c r="D222">
        <v>15</v>
      </c>
      <c r="E222">
        <v>15</v>
      </c>
      <c r="F222">
        <v>15</v>
      </c>
      <c r="G222">
        <v>15</v>
      </c>
      <c r="H222">
        <v>15</v>
      </c>
    </row>
    <row r="223" spans="1:16">
      <c r="A223" s="2" t="s">
        <v>239</v>
      </c>
      <c r="B223" s="2" t="s">
        <v>24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</row>
    <row r="224" spans="1:16">
      <c r="A224" s="2" t="s">
        <v>240</v>
      </c>
      <c r="B224" s="2" t="s">
        <v>24</v>
      </c>
      <c r="C224">
        <v>8</v>
      </c>
      <c r="D224">
        <v>8</v>
      </c>
      <c r="E224">
        <v>8</v>
      </c>
      <c r="F224">
        <v>8</v>
      </c>
      <c r="G224">
        <v>8</v>
      </c>
      <c r="H224">
        <v>8</v>
      </c>
    </row>
    <row r="225" spans="1:16">
      <c r="A225" s="2" t="s">
        <v>241</v>
      </c>
      <c r="B225" s="2" t="s">
        <v>24</v>
      </c>
      <c r="I225">
        <v>28</v>
      </c>
      <c r="J225">
        <v>28</v>
      </c>
      <c r="K225">
        <v>28</v>
      </c>
      <c r="L225">
        <v>28</v>
      </c>
      <c r="M225">
        <v>28</v>
      </c>
      <c r="N225">
        <v>28</v>
      </c>
      <c r="O225">
        <v>28</v>
      </c>
      <c r="P225">
        <v>28</v>
      </c>
    </row>
    <row r="226" spans="1:16">
      <c r="A226" s="2" t="s">
        <v>242</v>
      </c>
      <c r="B226" s="2" t="s">
        <v>24</v>
      </c>
      <c r="C226">
        <v>28</v>
      </c>
      <c r="D226">
        <v>28</v>
      </c>
      <c r="E226">
        <v>28</v>
      </c>
      <c r="F226">
        <v>28</v>
      </c>
      <c r="G226">
        <v>28</v>
      </c>
      <c r="H226">
        <v>28</v>
      </c>
    </row>
    <row r="227" spans="1:16">
      <c r="A227" s="2" t="s">
        <v>243</v>
      </c>
      <c r="B227" s="2" t="s">
        <v>24</v>
      </c>
      <c r="I227">
        <v>18</v>
      </c>
      <c r="J227">
        <v>18</v>
      </c>
      <c r="K227">
        <v>18</v>
      </c>
      <c r="L227">
        <v>18</v>
      </c>
      <c r="M227">
        <v>18</v>
      </c>
      <c r="N227">
        <v>18</v>
      </c>
      <c r="O227">
        <v>18</v>
      </c>
      <c r="P227">
        <v>18</v>
      </c>
    </row>
    <row r="228" spans="1:16">
      <c r="A228" s="2" t="s">
        <v>244</v>
      </c>
      <c r="B228" s="2" t="s">
        <v>24</v>
      </c>
      <c r="I228">
        <v>10</v>
      </c>
      <c r="J228">
        <v>10</v>
      </c>
      <c r="K228">
        <v>10</v>
      </c>
      <c r="L228">
        <v>10</v>
      </c>
      <c r="M228">
        <v>10</v>
      </c>
      <c r="N228">
        <v>10</v>
      </c>
      <c r="O228">
        <v>10</v>
      </c>
      <c r="P228">
        <v>10</v>
      </c>
    </row>
    <row r="229" spans="1:16">
      <c r="A229" s="2" t="s">
        <v>245</v>
      </c>
      <c r="B229" s="2" t="s">
        <v>24</v>
      </c>
      <c r="C229">
        <v>18</v>
      </c>
      <c r="D229">
        <v>18</v>
      </c>
      <c r="E229">
        <v>18</v>
      </c>
      <c r="F229">
        <v>18</v>
      </c>
      <c r="G229">
        <v>18</v>
      </c>
      <c r="H229">
        <v>18</v>
      </c>
    </row>
    <row r="230" spans="1:16">
      <c r="A230" s="2" t="s">
        <v>246</v>
      </c>
      <c r="B230" s="2" t="s">
        <v>24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</row>
    <row r="231" spans="1:16">
      <c r="A231" s="2" t="s">
        <v>247</v>
      </c>
      <c r="B231" s="2" t="s">
        <v>24</v>
      </c>
      <c r="I231">
        <v>14</v>
      </c>
      <c r="J231">
        <v>14</v>
      </c>
      <c r="K231">
        <v>14</v>
      </c>
      <c r="L231">
        <v>14</v>
      </c>
      <c r="M231">
        <v>14</v>
      </c>
      <c r="N231">
        <v>14</v>
      </c>
      <c r="O231">
        <v>14</v>
      </c>
      <c r="P231">
        <v>14</v>
      </c>
    </row>
    <row r="232" spans="1:16">
      <c r="A232" s="2" t="s">
        <v>248</v>
      </c>
      <c r="B232" s="2" t="s">
        <v>24</v>
      </c>
      <c r="C232">
        <v>14</v>
      </c>
      <c r="D232">
        <v>14</v>
      </c>
      <c r="E232">
        <v>14</v>
      </c>
      <c r="F232">
        <v>14</v>
      </c>
      <c r="G232">
        <v>14</v>
      </c>
      <c r="H232">
        <v>14</v>
      </c>
    </row>
    <row r="233" spans="1:16">
      <c r="A233" s="2" t="s">
        <v>249</v>
      </c>
      <c r="B233" s="2" t="s">
        <v>24</v>
      </c>
      <c r="I233">
        <v>64</v>
      </c>
      <c r="J233">
        <v>64</v>
      </c>
      <c r="K233">
        <v>64</v>
      </c>
      <c r="L233">
        <v>64</v>
      </c>
      <c r="M233">
        <v>64</v>
      </c>
      <c r="N233">
        <v>64</v>
      </c>
      <c r="O233">
        <v>64</v>
      </c>
      <c r="P233">
        <v>0</v>
      </c>
    </row>
    <row r="234" spans="1:16">
      <c r="A234" s="2" t="s">
        <v>250</v>
      </c>
      <c r="B234" s="2" t="s">
        <v>24</v>
      </c>
      <c r="C234">
        <v>64</v>
      </c>
      <c r="D234">
        <v>64</v>
      </c>
      <c r="E234">
        <v>64</v>
      </c>
      <c r="F234">
        <v>64</v>
      </c>
      <c r="G234">
        <v>64</v>
      </c>
      <c r="H234">
        <v>64</v>
      </c>
    </row>
    <row r="235" spans="1:16">
      <c r="A235" s="2" t="s">
        <v>251</v>
      </c>
      <c r="B235" s="2" t="s">
        <v>24</v>
      </c>
      <c r="I235">
        <v>141</v>
      </c>
      <c r="J235">
        <v>141</v>
      </c>
      <c r="K235">
        <v>141</v>
      </c>
      <c r="L235">
        <v>141</v>
      </c>
      <c r="M235">
        <v>141</v>
      </c>
      <c r="N235">
        <v>141</v>
      </c>
      <c r="O235">
        <v>141</v>
      </c>
    </row>
    <row r="236" spans="1:16">
      <c r="A236" s="2" t="s">
        <v>252</v>
      </c>
      <c r="B236" s="2" t="s">
        <v>24</v>
      </c>
      <c r="C236">
        <v>141</v>
      </c>
      <c r="D236">
        <v>141</v>
      </c>
      <c r="E236">
        <v>141</v>
      </c>
      <c r="F236">
        <v>141</v>
      </c>
      <c r="G236">
        <v>141</v>
      </c>
      <c r="H236">
        <v>141</v>
      </c>
    </row>
    <row r="237" spans="1:16">
      <c r="A237" s="2" t="s">
        <v>253</v>
      </c>
      <c r="B237" s="2" t="s">
        <v>17</v>
      </c>
      <c r="I237">
        <v>71</v>
      </c>
      <c r="J237">
        <v>71</v>
      </c>
      <c r="K237">
        <v>71</v>
      </c>
      <c r="L237">
        <v>71</v>
      </c>
      <c r="M237">
        <v>71</v>
      </c>
      <c r="N237">
        <v>71</v>
      </c>
      <c r="O237">
        <v>71</v>
      </c>
      <c r="P237">
        <v>71</v>
      </c>
    </row>
    <row r="238" spans="1:16">
      <c r="A238" s="2" t="s">
        <v>254</v>
      </c>
      <c r="B238" s="2" t="s">
        <v>17</v>
      </c>
      <c r="C238">
        <v>71</v>
      </c>
      <c r="D238">
        <v>71</v>
      </c>
      <c r="E238">
        <v>71</v>
      </c>
      <c r="F238">
        <v>71</v>
      </c>
      <c r="G238">
        <v>71</v>
      </c>
      <c r="H238">
        <v>71</v>
      </c>
    </row>
    <row r="239" spans="1:16">
      <c r="A239" s="2" t="s">
        <v>255</v>
      </c>
      <c r="B239" s="2" t="s">
        <v>24</v>
      </c>
      <c r="I239">
        <v>10</v>
      </c>
      <c r="J239">
        <v>10</v>
      </c>
      <c r="K239">
        <v>10</v>
      </c>
      <c r="L239">
        <v>10</v>
      </c>
      <c r="M239">
        <v>10</v>
      </c>
      <c r="N239">
        <v>10</v>
      </c>
      <c r="O239">
        <v>10</v>
      </c>
      <c r="P239">
        <v>10</v>
      </c>
    </row>
    <row r="240" spans="1:16">
      <c r="A240" s="2" t="s">
        <v>256</v>
      </c>
      <c r="B240" s="2" t="s">
        <v>24</v>
      </c>
      <c r="C240">
        <v>9</v>
      </c>
      <c r="D240">
        <v>9</v>
      </c>
      <c r="E240">
        <v>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>
      <c r="A241" s="2" t="s">
        <v>257</v>
      </c>
      <c r="B241" s="2" t="s">
        <v>24</v>
      </c>
      <c r="C241">
        <v>10</v>
      </c>
      <c r="D241">
        <v>10</v>
      </c>
      <c r="E241">
        <v>10</v>
      </c>
      <c r="F241">
        <v>10</v>
      </c>
      <c r="G241">
        <v>10</v>
      </c>
      <c r="H241">
        <v>10</v>
      </c>
    </row>
    <row r="242" spans="1:16">
      <c r="A242" s="2" t="s">
        <v>258</v>
      </c>
      <c r="B242" s="2" t="s">
        <v>24</v>
      </c>
      <c r="I242">
        <v>14</v>
      </c>
      <c r="J242">
        <v>14</v>
      </c>
      <c r="K242">
        <v>14</v>
      </c>
      <c r="L242">
        <v>14</v>
      </c>
      <c r="M242">
        <v>14</v>
      </c>
      <c r="N242">
        <v>14</v>
      </c>
      <c r="O242">
        <v>14</v>
      </c>
      <c r="P242">
        <v>14</v>
      </c>
    </row>
    <row r="243" spans="1:16">
      <c r="A243" s="2" t="s">
        <v>259</v>
      </c>
      <c r="B243" s="2" t="s">
        <v>24</v>
      </c>
      <c r="C243">
        <v>14</v>
      </c>
      <c r="D243">
        <v>14</v>
      </c>
      <c r="E243">
        <v>14</v>
      </c>
      <c r="F243">
        <v>14</v>
      </c>
      <c r="G243">
        <v>14</v>
      </c>
      <c r="H243">
        <v>14</v>
      </c>
    </row>
    <row r="244" spans="1:16">
      <c r="A244" s="2" t="s">
        <v>260</v>
      </c>
      <c r="B244" s="2" t="s">
        <v>24</v>
      </c>
      <c r="I244">
        <v>12</v>
      </c>
      <c r="J244">
        <v>12</v>
      </c>
      <c r="K244">
        <v>12</v>
      </c>
      <c r="L244">
        <v>12</v>
      </c>
      <c r="M244">
        <v>12</v>
      </c>
      <c r="N244">
        <v>12</v>
      </c>
      <c r="O244">
        <v>12</v>
      </c>
      <c r="P244">
        <v>12</v>
      </c>
    </row>
    <row r="245" spans="1:16">
      <c r="A245" s="2" t="s">
        <v>261</v>
      </c>
      <c r="B245" s="2" t="s">
        <v>24</v>
      </c>
      <c r="I245">
        <v>15</v>
      </c>
      <c r="J245">
        <v>15</v>
      </c>
      <c r="K245">
        <v>15</v>
      </c>
      <c r="L245">
        <v>15</v>
      </c>
      <c r="M245">
        <v>15</v>
      </c>
      <c r="N245">
        <v>15</v>
      </c>
      <c r="O245">
        <v>15</v>
      </c>
      <c r="P245">
        <v>15</v>
      </c>
    </row>
    <row r="246" spans="1:16">
      <c r="A246" s="2" t="s">
        <v>262</v>
      </c>
      <c r="B246" s="2" t="s">
        <v>24</v>
      </c>
      <c r="C246">
        <v>12</v>
      </c>
      <c r="D246">
        <v>12</v>
      </c>
      <c r="E246">
        <v>12</v>
      </c>
      <c r="F246">
        <v>12</v>
      </c>
      <c r="G246">
        <v>12</v>
      </c>
      <c r="H246">
        <v>12</v>
      </c>
    </row>
    <row r="247" spans="1:16">
      <c r="A247" s="2" t="s">
        <v>263</v>
      </c>
      <c r="B247" s="2" t="s">
        <v>24</v>
      </c>
      <c r="C247">
        <v>15</v>
      </c>
      <c r="D247">
        <v>15</v>
      </c>
      <c r="E247">
        <v>15</v>
      </c>
      <c r="F247">
        <v>15</v>
      </c>
      <c r="G247">
        <v>15</v>
      </c>
      <c r="H247">
        <v>15</v>
      </c>
    </row>
    <row r="248" spans="1:16">
      <c r="A248" s="2" t="s">
        <v>264</v>
      </c>
      <c r="B248" s="2" t="s">
        <v>24</v>
      </c>
      <c r="I248">
        <v>19</v>
      </c>
      <c r="J248">
        <v>19</v>
      </c>
      <c r="K248">
        <v>19</v>
      </c>
      <c r="L248">
        <v>19</v>
      </c>
      <c r="M248">
        <v>19</v>
      </c>
      <c r="N248">
        <v>19</v>
      </c>
      <c r="O248">
        <v>19</v>
      </c>
      <c r="P248">
        <v>19</v>
      </c>
    </row>
    <row r="249" spans="1:16">
      <c r="A249" s="2" t="s">
        <v>265</v>
      </c>
      <c r="B249" s="2" t="s">
        <v>24</v>
      </c>
      <c r="I249">
        <v>15</v>
      </c>
      <c r="J249">
        <v>15</v>
      </c>
      <c r="K249">
        <v>15</v>
      </c>
      <c r="L249">
        <v>15</v>
      </c>
      <c r="M249">
        <v>15</v>
      </c>
      <c r="N249">
        <v>15</v>
      </c>
      <c r="O249">
        <v>15</v>
      </c>
      <c r="P249">
        <v>15</v>
      </c>
    </row>
    <row r="250" spans="1:16">
      <c r="A250" s="2" t="s">
        <v>266</v>
      </c>
      <c r="B250" s="2" t="s">
        <v>24</v>
      </c>
      <c r="I250">
        <v>16</v>
      </c>
      <c r="J250">
        <v>16</v>
      </c>
      <c r="K250">
        <v>16</v>
      </c>
      <c r="L250">
        <v>16</v>
      </c>
      <c r="M250">
        <v>16</v>
      </c>
      <c r="N250">
        <v>16</v>
      </c>
      <c r="O250">
        <v>16</v>
      </c>
      <c r="P250">
        <v>16</v>
      </c>
    </row>
    <row r="251" spans="1:16">
      <c r="A251" s="2" t="s">
        <v>267</v>
      </c>
      <c r="B251" s="2" t="s">
        <v>24</v>
      </c>
      <c r="C251">
        <v>19</v>
      </c>
      <c r="D251">
        <v>19</v>
      </c>
      <c r="E251">
        <v>19</v>
      </c>
      <c r="F251">
        <v>19</v>
      </c>
      <c r="G251">
        <v>19</v>
      </c>
      <c r="H251">
        <v>19</v>
      </c>
    </row>
    <row r="252" spans="1:16">
      <c r="A252" s="2" t="s">
        <v>268</v>
      </c>
      <c r="B252" s="2" t="s">
        <v>24</v>
      </c>
      <c r="C252">
        <v>15</v>
      </c>
      <c r="D252">
        <v>15</v>
      </c>
      <c r="E252">
        <v>15</v>
      </c>
      <c r="F252">
        <v>15</v>
      </c>
      <c r="G252">
        <v>15</v>
      </c>
      <c r="H252">
        <v>15</v>
      </c>
    </row>
    <row r="253" spans="1:16">
      <c r="A253" s="2" t="s">
        <v>269</v>
      </c>
      <c r="B253" s="2" t="s">
        <v>24</v>
      </c>
      <c r="C253">
        <v>16</v>
      </c>
      <c r="D253">
        <v>16</v>
      </c>
      <c r="E253">
        <v>16</v>
      </c>
      <c r="F253">
        <v>16</v>
      </c>
      <c r="G253">
        <v>16</v>
      </c>
      <c r="H253">
        <v>16</v>
      </c>
    </row>
    <row r="254" spans="1:16">
      <c r="A254" s="2" t="s">
        <v>270</v>
      </c>
      <c r="B254" s="2" t="s">
        <v>24</v>
      </c>
      <c r="I254">
        <v>13</v>
      </c>
      <c r="J254">
        <v>13</v>
      </c>
      <c r="K254">
        <v>13</v>
      </c>
      <c r="L254">
        <v>13</v>
      </c>
      <c r="M254">
        <v>13</v>
      </c>
      <c r="N254">
        <v>13</v>
      </c>
      <c r="O254">
        <v>13</v>
      </c>
      <c r="P254">
        <v>13</v>
      </c>
    </row>
    <row r="255" spans="1:16">
      <c r="A255" s="2" t="s">
        <v>271</v>
      </c>
      <c r="B255" s="2" t="s">
        <v>24</v>
      </c>
      <c r="I255">
        <v>12</v>
      </c>
      <c r="J255">
        <v>12</v>
      </c>
      <c r="K255">
        <v>12</v>
      </c>
      <c r="L255">
        <v>12</v>
      </c>
      <c r="M255">
        <v>12</v>
      </c>
      <c r="N255">
        <v>12</v>
      </c>
      <c r="O255">
        <v>12</v>
      </c>
      <c r="P255">
        <v>12</v>
      </c>
    </row>
    <row r="256" spans="1:16">
      <c r="A256" s="2" t="s">
        <v>272</v>
      </c>
      <c r="B256" s="2" t="s">
        <v>24</v>
      </c>
      <c r="C256">
        <v>13</v>
      </c>
      <c r="D256">
        <v>13</v>
      </c>
      <c r="E256">
        <v>13</v>
      </c>
      <c r="F256">
        <v>13</v>
      </c>
      <c r="G256">
        <v>13</v>
      </c>
      <c r="H256">
        <v>13</v>
      </c>
    </row>
    <row r="257" spans="1:16">
      <c r="A257" s="2" t="s">
        <v>273</v>
      </c>
      <c r="B257" s="2" t="s">
        <v>24</v>
      </c>
      <c r="C257">
        <v>12</v>
      </c>
      <c r="D257">
        <v>12</v>
      </c>
      <c r="E257">
        <v>12</v>
      </c>
      <c r="F257">
        <v>12</v>
      </c>
      <c r="G257">
        <v>12</v>
      </c>
      <c r="H257">
        <v>12</v>
      </c>
    </row>
    <row r="258" spans="1:16">
      <c r="A258" s="2" t="s">
        <v>274</v>
      </c>
      <c r="B258" s="2" t="s">
        <v>275</v>
      </c>
      <c r="C258">
        <v>22</v>
      </c>
      <c r="D258">
        <v>22</v>
      </c>
      <c r="E258">
        <v>22</v>
      </c>
      <c r="F258">
        <v>22</v>
      </c>
      <c r="G258">
        <v>22</v>
      </c>
      <c r="H258">
        <v>22</v>
      </c>
      <c r="I258">
        <v>22</v>
      </c>
      <c r="J258">
        <v>22</v>
      </c>
      <c r="K258">
        <v>22</v>
      </c>
      <c r="L258">
        <v>22</v>
      </c>
      <c r="M258">
        <v>22</v>
      </c>
      <c r="N258">
        <v>22</v>
      </c>
      <c r="O258">
        <v>22</v>
      </c>
      <c r="P258">
        <v>22</v>
      </c>
    </row>
    <row r="259" spans="1:16">
      <c r="A259" s="2" t="s">
        <v>276</v>
      </c>
      <c r="B259" s="2" t="s">
        <v>275</v>
      </c>
      <c r="C259">
        <v>23</v>
      </c>
      <c r="D259">
        <v>23</v>
      </c>
      <c r="E259">
        <v>23</v>
      </c>
      <c r="F259">
        <v>23</v>
      </c>
      <c r="G259">
        <v>23</v>
      </c>
      <c r="H259">
        <v>23</v>
      </c>
      <c r="I259">
        <v>23</v>
      </c>
      <c r="J259">
        <v>23</v>
      </c>
      <c r="K259">
        <v>23</v>
      </c>
      <c r="L259">
        <v>23</v>
      </c>
      <c r="M259">
        <v>23</v>
      </c>
      <c r="N259">
        <v>23</v>
      </c>
      <c r="O259">
        <v>23</v>
      </c>
      <c r="P259">
        <v>23</v>
      </c>
    </row>
    <row r="260" spans="1:16">
      <c r="A260" s="2" t="s">
        <v>277</v>
      </c>
      <c r="B260" s="2" t="s">
        <v>275</v>
      </c>
      <c r="C260">
        <v>6</v>
      </c>
      <c r="D260">
        <v>6</v>
      </c>
      <c r="E260">
        <v>6</v>
      </c>
      <c r="F260">
        <v>6</v>
      </c>
      <c r="G260">
        <v>6</v>
      </c>
      <c r="H260">
        <v>6</v>
      </c>
      <c r="I260">
        <v>6</v>
      </c>
      <c r="J260">
        <v>6</v>
      </c>
      <c r="K260">
        <v>6</v>
      </c>
      <c r="L260">
        <v>6</v>
      </c>
      <c r="M260">
        <v>6</v>
      </c>
      <c r="N260">
        <v>6</v>
      </c>
      <c r="O260">
        <v>6</v>
      </c>
      <c r="P260">
        <v>6</v>
      </c>
    </row>
    <row r="261" spans="1:16">
      <c r="A261" s="2" t="s">
        <v>278</v>
      </c>
      <c r="B261" s="2" t="s">
        <v>275</v>
      </c>
      <c r="C261">
        <v>16</v>
      </c>
      <c r="D261">
        <v>16</v>
      </c>
      <c r="E261">
        <v>16</v>
      </c>
      <c r="F261">
        <v>16</v>
      </c>
      <c r="G261">
        <v>16</v>
      </c>
      <c r="H261">
        <v>16</v>
      </c>
      <c r="I261">
        <v>16</v>
      </c>
      <c r="J261">
        <v>16</v>
      </c>
      <c r="K261">
        <v>16</v>
      </c>
      <c r="L261">
        <v>16</v>
      </c>
      <c r="M261">
        <v>16</v>
      </c>
      <c r="N261">
        <v>16</v>
      </c>
      <c r="O261">
        <v>16</v>
      </c>
      <c r="P261">
        <v>16</v>
      </c>
    </row>
    <row r="262" spans="1:16">
      <c r="A262" s="2" t="s">
        <v>279</v>
      </c>
      <c r="B262" s="2" t="s">
        <v>275</v>
      </c>
      <c r="C262">
        <v>6</v>
      </c>
      <c r="D262">
        <v>6</v>
      </c>
      <c r="E262">
        <v>6</v>
      </c>
      <c r="F262">
        <v>6</v>
      </c>
      <c r="G262">
        <v>6</v>
      </c>
      <c r="H262">
        <v>6</v>
      </c>
      <c r="I262">
        <v>6</v>
      </c>
      <c r="J262">
        <v>6</v>
      </c>
      <c r="K262">
        <v>6</v>
      </c>
      <c r="L262">
        <v>6</v>
      </c>
      <c r="M262">
        <v>6</v>
      </c>
      <c r="N262">
        <v>6</v>
      </c>
      <c r="O262">
        <v>6</v>
      </c>
      <c r="P262">
        <v>6</v>
      </c>
    </row>
    <row r="263" spans="1:16">
      <c r="A263" s="2" t="s">
        <v>280</v>
      </c>
      <c r="B263" s="2" t="s">
        <v>275</v>
      </c>
      <c r="C263">
        <v>14</v>
      </c>
      <c r="D263">
        <v>14</v>
      </c>
      <c r="E263">
        <v>14</v>
      </c>
      <c r="F263">
        <v>14</v>
      </c>
      <c r="G263">
        <v>14</v>
      </c>
      <c r="H263">
        <v>14</v>
      </c>
      <c r="I263">
        <v>14</v>
      </c>
      <c r="J263">
        <v>14</v>
      </c>
      <c r="K263">
        <v>14</v>
      </c>
      <c r="L263">
        <v>14</v>
      </c>
      <c r="M263">
        <v>14</v>
      </c>
      <c r="N263">
        <v>14</v>
      </c>
      <c r="O263">
        <v>14</v>
      </c>
      <c r="P263">
        <v>14</v>
      </c>
    </row>
    <row r="264" spans="1:16">
      <c r="A264" s="2" t="s">
        <v>281</v>
      </c>
      <c r="B264" s="2" t="s">
        <v>275</v>
      </c>
      <c r="C264">
        <v>10</v>
      </c>
      <c r="D264">
        <v>10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</row>
    <row r="265" spans="1:16">
      <c r="A265" s="2" t="s">
        <v>282</v>
      </c>
      <c r="B265" s="2" t="s">
        <v>275</v>
      </c>
      <c r="C265">
        <v>6</v>
      </c>
      <c r="D265">
        <v>6</v>
      </c>
      <c r="E265">
        <v>6</v>
      </c>
      <c r="F265">
        <v>6</v>
      </c>
      <c r="G265">
        <v>6</v>
      </c>
      <c r="H265">
        <v>6</v>
      </c>
      <c r="I265">
        <v>6</v>
      </c>
      <c r="J265">
        <v>6</v>
      </c>
      <c r="K265">
        <v>6</v>
      </c>
      <c r="L265">
        <v>6</v>
      </c>
      <c r="M265">
        <v>6</v>
      </c>
      <c r="N265">
        <v>6</v>
      </c>
      <c r="O265">
        <v>6</v>
      </c>
      <c r="P265">
        <v>6</v>
      </c>
    </row>
    <row r="266" spans="1:16">
      <c r="A266" s="2" t="s">
        <v>283</v>
      </c>
      <c r="B266" s="2" t="s">
        <v>275</v>
      </c>
      <c r="C266">
        <v>23</v>
      </c>
      <c r="D266">
        <v>23</v>
      </c>
      <c r="E266">
        <v>23</v>
      </c>
      <c r="F266">
        <v>23</v>
      </c>
      <c r="G266">
        <v>23</v>
      </c>
      <c r="H266">
        <v>23</v>
      </c>
      <c r="I266">
        <v>23</v>
      </c>
      <c r="J266">
        <v>23</v>
      </c>
      <c r="K266">
        <v>23</v>
      </c>
      <c r="L266">
        <v>23</v>
      </c>
      <c r="M266">
        <v>23</v>
      </c>
      <c r="N266">
        <v>23</v>
      </c>
      <c r="O266">
        <v>23</v>
      </c>
      <c r="P266">
        <v>23</v>
      </c>
    </row>
    <row r="267" spans="1:16">
      <c r="A267" s="2" t="s">
        <v>284</v>
      </c>
      <c r="B267" s="2" t="s">
        <v>275</v>
      </c>
      <c r="C267">
        <v>27</v>
      </c>
      <c r="D267">
        <v>27</v>
      </c>
      <c r="E267">
        <v>27</v>
      </c>
      <c r="F267">
        <v>27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>
      <c r="A268" s="2" t="s">
        <v>285</v>
      </c>
      <c r="B268" s="2" t="s">
        <v>275</v>
      </c>
      <c r="C268">
        <v>25</v>
      </c>
      <c r="D268">
        <v>25</v>
      </c>
      <c r="E268">
        <v>25</v>
      </c>
      <c r="F268">
        <v>25</v>
      </c>
      <c r="G268">
        <v>25</v>
      </c>
      <c r="H268">
        <v>25</v>
      </c>
      <c r="I268">
        <v>25</v>
      </c>
      <c r="J268">
        <v>25</v>
      </c>
      <c r="K268">
        <v>25</v>
      </c>
      <c r="L268">
        <v>25</v>
      </c>
      <c r="M268">
        <v>25</v>
      </c>
      <c r="N268">
        <v>25</v>
      </c>
      <c r="O268">
        <v>25</v>
      </c>
      <c r="P268">
        <v>25</v>
      </c>
    </row>
    <row r="269" spans="1:16">
      <c r="A269" s="2" t="s">
        <v>286</v>
      </c>
      <c r="B269" s="2" t="s">
        <v>275</v>
      </c>
      <c r="C269">
        <v>25</v>
      </c>
      <c r="D269">
        <v>25</v>
      </c>
      <c r="E269">
        <v>25</v>
      </c>
      <c r="F269">
        <v>25</v>
      </c>
      <c r="G269">
        <v>25</v>
      </c>
      <c r="H269">
        <v>25</v>
      </c>
      <c r="I269">
        <v>25</v>
      </c>
      <c r="J269">
        <v>25</v>
      </c>
      <c r="K269">
        <v>25</v>
      </c>
      <c r="L269">
        <v>25</v>
      </c>
      <c r="M269">
        <v>25</v>
      </c>
      <c r="N269">
        <v>25</v>
      </c>
      <c r="O269">
        <v>25</v>
      </c>
      <c r="P269">
        <v>25</v>
      </c>
    </row>
    <row r="270" spans="1:16">
      <c r="A270" s="2" t="s">
        <v>287</v>
      </c>
      <c r="B270" s="2" t="s">
        <v>275</v>
      </c>
      <c r="C270">
        <v>13</v>
      </c>
      <c r="D270">
        <v>13</v>
      </c>
      <c r="E270">
        <v>13</v>
      </c>
      <c r="F270">
        <v>13</v>
      </c>
      <c r="G270">
        <v>13</v>
      </c>
      <c r="H270">
        <v>13</v>
      </c>
      <c r="I270">
        <v>13</v>
      </c>
      <c r="J270">
        <v>13</v>
      </c>
      <c r="K270">
        <v>13</v>
      </c>
      <c r="L270">
        <v>13</v>
      </c>
      <c r="M270">
        <v>13</v>
      </c>
      <c r="N270">
        <v>13</v>
      </c>
      <c r="O270">
        <v>13</v>
      </c>
      <c r="P270">
        <v>13</v>
      </c>
    </row>
    <row r="271" spans="1:16">
      <c r="A271" s="2" t="s">
        <v>288</v>
      </c>
      <c r="B271" s="2" t="s">
        <v>275</v>
      </c>
      <c r="C271">
        <v>8</v>
      </c>
      <c r="D271">
        <v>8</v>
      </c>
      <c r="E271">
        <v>8</v>
      </c>
      <c r="F271">
        <v>8</v>
      </c>
      <c r="G271">
        <v>8</v>
      </c>
      <c r="H271">
        <v>8</v>
      </c>
      <c r="I271">
        <v>8</v>
      </c>
      <c r="J271">
        <v>8</v>
      </c>
      <c r="K271">
        <v>8</v>
      </c>
      <c r="L271">
        <v>8</v>
      </c>
      <c r="M271">
        <v>8</v>
      </c>
      <c r="N271">
        <v>8</v>
      </c>
      <c r="O271">
        <v>8</v>
      </c>
      <c r="P271">
        <v>8</v>
      </c>
    </row>
    <row r="272" spans="1:16">
      <c r="A272" s="2" t="s">
        <v>289</v>
      </c>
      <c r="B272" s="2" t="s">
        <v>275</v>
      </c>
      <c r="C272">
        <v>6</v>
      </c>
      <c r="D272">
        <v>6</v>
      </c>
      <c r="E272">
        <v>6</v>
      </c>
      <c r="F272">
        <v>6</v>
      </c>
      <c r="G272">
        <v>6</v>
      </c>
      <c r="H272">
        <v>6</v>
      </c>
      <c r="I272">
        <v>6</v>
      </c>
      <c r="J272">
        <v>6</v>
      </c>
      <c r="K272">
        <v>6</v>
      </c>
      <c r="L272">
        <v>6</v>
      </c>
      <c r="M272">
        <v>6</v>
      </c>
      <c r="N272">
        <v>6</v>
      </c>
      <c r="O272">
        <v>6</v>
      </c>
      <c r="P272">
        <v>6</v>
      </c>
    </row>
    <row r="273" spans="1:16">
      <c r="A273" s="2" t="s">
        <v>290</v>
      </c>
      <c r="B273" s="2" t="s">
        <v>275</v>
      </c>
      <c r="C273">
        <v>22</v>
      </c>
      <c r="D273">
        <v>22</v>
      </c>
      <c r="E273">
        <v>22</v>
      </c>
      <c r="F273">
        <v>22</v>
      </c>
      <c r="G273">
        <v>22</v>
      </c>
      <c r="H273">
        <v>22</v>
      </c>
      <c r="I273">
        <v>22</v>
      </c>
      <c r="J273">
        <v>22</v>
      </c>
      <c r="K273">
        <v>22</v>
      </c>
      <c r="L273">
        <v>22</v>
      </c>
      <c r="M273">
        <v>22</v>
      </c>
      <c r="N273">
        <v>22</v>
      </c>
      <c r="O273">
        <v>22</v>
      </c>
      <c r="P273">
        <v>22</v>
      </c>
    </row>
    <row r="274" spans="1:16">
      <c r="A274" s="2" t="s">
        <v>291</v>
      </c>
      <c r="B274" s="2" t="s">
        <v>275</v>
      </c>
      <c r="C274">
        <v>18</v>
      </c>
      <c r="D274">
        <v>18</v>
      </c>
      <c r="E274">
        <v>18</v>
      </c>
      <c r="F274">
        <v>18</v>
      </c>
      <c r="G274">
        <v>18</v>
      </c>
      <c r="H274">
        <v>18</v>
      </c>
      <c r="I274">
        <v>18</v>
      </c>
      <c r="J274">
        <v>18</v>
      </c>
      <c r="K274">
        <v>18</v>
      </c>
      <c r="L274">
        <v>18</v>
      </c>
      <c r="M274">
        <v>18</v>
      </c>
      <c r="N274">
        <v>18</v>
      </c>
      <c r="O274">
        <v>18</v>
      </c>
      <c r="P274">
        <v>18</v>
      </c>
    </row>
    <row r="275" spans="1:16">
      <c r="A275" s="2" t="s">
        <v>292</v>
      </c>
      <c r="B275" s="2" t="s">
        <v>275</v>
      </c>
      <c r="C275">
        <v>11</v>
      </c>
      <c r="D275">
        <v>11</v>
      </c>
      <c r="E275">
        <v>11</v>
      </c>
      <c r="F275">
        <v>11</v>
      </c>
      <c r="G275">
        <v>11</v>
      </c>
      <c r="H275">
        <v>11</v>
      </c>
      <c r="I275">
        <v>11</v>
      </c>
      <c r="J275">
        <v>11</v>
      </c>
      <c r="K275">
        <v>11</v>
      </c>
      <c r="L275">
        <v>11</v>
      </c>
      <c r="M275">
        <v>11</v>
      </c>
      <c r="N275">
        <v>11</v>
      </c>
      <c r="O275">
        <v>11</v>
      </c>
      <c r="P275">
        <v>11</v>
      </c>
    </row>
    <row r="276" spans="1:16">
      <c r="A276" s="2" t="s">
        <v>293</v>
      </c>
      <c r="B276" s="2" t="s">
        <v>275</v>
      </c>
      <c r="C276">
        <v>6</v>
      </c>
      <c r="D276">
        <v>6</v>
      </c>
      <c r="E276">
        <v>6</v>
      </c>
      <c r="F276">
        <v>6</v>
      </c>
      <c r="G276">
        <v>6</v>
      </c>
      <c r="H276">
        <v>6</v>
      </c>
      <c r="I276">
        <v>6</v>
      </c>
      <c r="J276">
        <v>6</v>
      </c>
      <c r="K276">
        <v>6</v>
      </c>
      <c r="L276">
        <v>6</v>
      </c>
      <c r="M276">
        <v>6</v>
      </c>
      <c r="N276">
        <v>6</v>
      </c>
      <c r="O276">
        <v>6</v>
      </c>
      <c r="P276">
        <v>6</v>
      </c>
    </row>
    <row r="277" spans="1:16">
      <c r="A277" s="2" t="s">
        <v>294</v>
      </c>
      <c r="B277" s="2" t="s">
        <v>275</v>
      </c>
      <c r="C277">
        <v>93</v>
      </c>
      <c r="D277">
        <v>93</v>
      </c>
      <c r="E277">
        <v>93</v>
      </c>
      <c r="F277">
        <v>93</v>
      </c>
      <c r="G277">
        <v>93</v>
      </c>
      <c r="H277">
        <v>93</v>
      </c>
      <c r="I277">
        <v>93</v>
      </c>
      <c r="J277">
        <v>93</v>
      </c>
      <c r="K277">
        <v>93</v>
      </c>
      <c r="L277">
        <v>93</v>
      </c>
      <c r="M277">
        <v>93</v>
      </c>
      <c r="N277">
        <v>93</v>
      </c>
      <c r="O277">
        <v>93</v>
      </c>
      <c r="P277">
        <v>93</v>
      </c>
    </row>
    <row r="278" spans="1:16">
      <c r="A278" s="2" t="s">
        <v>295</v>
      </c>
      <c r="B278" s="2" t="s">
        <v>275</v>
      </c>
      <c r="C278">
        <v>21</v>
      </c>
      <c r="D278">
        <v>21</v>
      </c>
      <c r="E278">
        <v>21</v>
      </c>
      <c r="F278">
        <v>21</v>
      </c>
      <c r="G278">
        <v>21</v>
      </c>
      <c r="H278">
        <v>21</v>
      </c>
      <c r="I278">
        <v>21</v>
      </c>
      <c r="J278">
        <v>21</v>
      </c>
      <c r="K278">
        <v>21</v>
      </c>
      <c r="L278">
        <v>21</v>
      </c>
      <c r="M278">
        <v>21</v>
      </c>
      <c r="N278">
        <v>21</v>
      </c>
      <c r="O278">
        <v>21</v>
      </c>
      <c r="P278">
        <v>21</v>
      </c>
    </row>
    <row r="279" spans="1:16">
      <c r="A279" s="2" t="s">
        <v>296</v>
      </c>
      <c r="B279" s="2" t="s">
        <v>275</v>
      </c>
      <c r="C279">
        <v>46</v>
      </c>
      <c r="D279">
        <v>46</v>
      </c>
      <c r="E279">
        <v>46</v>
      </c>
      <c r="F279">
        <v>46</v>
      </c>
      <c r="G279">
        <v>46</v>
      </c>
      <c r="H279">
        <v>46</v>
      </c>
      <c r="I279">
        <v>46</v>
      </c>
      <c r="J279">
        <v>46</v>
      </c>
      <c r="K279">
        <v>46</v>
      </c>
      <c r="L279">
        <v>46</v>
      </c>
      <c r="M279">
        <v>46</v>
      </c>
      <c r="N279">
        <v>46</v>
      </c>
      <c r="O279">
        <v>46</v>
      </c>
      <c r="P279">
        <v>46</v>
      </c>
    </row>
    <row r="280" spans="1:16">
      <c r="A280" s="2" t="s">
        <v>297</v>
      </c>
      <c r="B280" s="2" t="s">
        <v>275</v>
      </c>
      <c r="C280">
        <v>8</v>
      </c>
      <c r="D280">
        <v>8</v>
      </c>
      <c r="E280">
        <v>8</v>
      </c>
      <c r="F280">
        <v>8</v>
      </c>
      <c r="G280">
        <v>8</v>
      </c>
      <c r="H280">
        <v>8</v>
      </c>
      <c r="I280">
        <v>8</v>
      </c>
      <c r="J280">
        <v>8</v>
      </c>
      <c r="K280">
        <v>8</v>
      </c>
      <c r="L280">
        <v>8</v>
      </c>
      <c r="M280">
        <v>8</v>
      </c>
      <c r="N280">
        <v>8</v>
      </c>
      <c r="O280">
        <v>8</v>
      </c>
      <c r="P280">
        <v>8</v>
      </c>
    </row>
    <row r="281" spans="1:16">
      <c r="A281" s="2" t="s">
        <v>298</v>
      </c>
      <c r="B281" s="2" t="s">
        <v>275</v>
      </c>
      <c r="C281">
        <v>34</v>
      </c>
      <c r="D281">
        <v>34</v>
      </c>
      <c r="E281">
        <v>34</v>
      </c>
      <c r="F281">
        <v>34</v>
      </c>
      <c r="G281">
        <v>34</v>
      </c>
      <c r="H281">
        <v>34</v>
      </c>
      <c r="I281">
        <v>34</v>
      </c>
      <c r="J281">
        <v>34</v>
      </c>
      <c r="K281">
        <v>34</v>
      </c>
      <c r="L281">
        <v>34</v>
      </c>
      <c r="M281">
        <v>34</v>
      </c>
      <c r="N281">
        <v>34</v>
      </c>
      <c r="O281">
        <v>34</v>
      </c>
      <c r="P281">
        <v>34</v>
      </c>
    </row>
    <row r="282" spans="1:16">
      <c r="A282" s="2" t="s">
        <v>299</v>
      </c>
      <c r="B282" s="2" t="s">
        <v>275</v>
      </c>
      <c r="C282">
        <v>44</v>
      </c>
      <c r="D282">
        <v>44</v>
      </c>
      <c r="E282">
        <v>44</v>
      </c>
      <c r="F282">
        <v>44</v>
      </c>
      <c r="G282">
        <v>44</v>
      </c>
      <c r="H282">
        <v>44</v>
      </c>
      <c r="I282">
        <v>44</v>
      </c>
      <c r="J282">
        <v>44</v>
      </c>
      <c r="K282">
        <v>44</v>
      </c>
      <c r="L282">
        <v>44</v>
      </c>
      <c r="M282">
        <v>44</v>
      </c>
      <c r="N282">
        <v>44</v>
      </c>
      <c r="O282">
        <v>44</v>
      </c>
      <c r="P282">
        <v>44</v>
      </c>
    </row>
    <row r="283" spans="1:16">
      <c r="A283" s="2" t="s">
        <v>300</v>
      </c>
      <c r="B283" s="2" t="s">
        <v>275</v>
      </c>
      <c r="C283">
        <v>24</v>
      </c>
      <c r="D283">
        <v>24</v>
      </c>
      <c r="E283">
        <v>24</v>
      </c>
      <c r="F283">
        <v>24</v>
      </c>
      <c r="G283">
        <v>24</v>
      </c>
      <c r="H283">
        <v>24</v>
      </c>
      <c r="I283">
        <v>24</v>
      </c>
      <c r="J283">
        <v>24</v>
      </c>
      <c r="K283">
        <v>24</v>
      </c>
      <c r="L283">
        <v>24</v>
      </c>
      <c r="M283">
        <v>24</v>
      </c>
      <c r="N283">
        <v>24</v>
      </c>
      <c r="O283">
        <v>24</v>
      </c>
      <c r="P283">
        <v>24</v>
      </c>
    </row>
    <row r="284" spans="1:16">
      <c r="A284" s="2" t="s">
        <v>301</v>
      </c>
      <c r="B284" s="2" t="s">
        <v>275</v>
      </c>
      <c r="C284">
        <v>165</v>
      </c>
      <c r="D284">
        <v>165</v>
      </c>
      <c r="E284">
        <v>165</v>
      </c>
      <c r="F284">
        <v>165</v>
      </c>
      <c r="G284">
        <v>165</v>
      </c>
      <c r="H284">
        <v>165</v>
      </c>
      <c r="I284">
        <v>165</v>
      </c>
      <c r="J284">
        <v>165</v>
      </c>
      <c r="K284">
        <v>165</v>
      </c>
      <c r="L284">
        <v>165</v>
      </c>
      <c r="M284">
        <v>165</v>
      </c>
      <c r="N284">
        <v>165</v>
      </c>
      <c r="O284">
        <v>165</v>
      </c>
      <c r="P284">
        <v>165</v>
      </c>
    </row>
    <row r="285" spans="1:16">
      <c r="A285" s="2" t="s">
        <v>302</v>
      </c>
      <c r="B285" s="2" t="s">
        <v>275</v>
      </c>
      <c r="C285">
        <v>9</v>
      </c>
      <c r="D285">
        <v>9</v>
      </c>
      <c r="E285">
        <v>9</v>
      </c>
      <c r="F285">
        <v>9</v>
      </c>
      <c r="G285">
        <v>9</v>
      </c>
      <c r="H285">
        <v>9</v>
      </c>
      <c r="I285">
        <v>9</v>
      </c>
      <c r="J285">
        <v>9</v>
      </c>
      <c r="K285">
        <v>9</v>
      </c>
      <c r="L285">
        <v>9</v>
      </c>
      <c r="M285">
        <v>9</v>
      </c>
      <c r="N285">
        <v>9</v>
      </c>
      <c r="O285">
        <v>9</v>
      </c>
      <c r="P285">
        <v>9</v>
      </c>
    </row>
    <row r="286" spans="1:16">
      <c r="A286" s="2" t="s">
        <v>303</v>
      </c>
      <c r="B286" s="2" t="s">
        <v>275</v>
      </c>
      <c r="C286">
        <v>16</v>
      </c>
      <c r="D286">
        <v>16</v>
      </c>
      <c r="E286">
        <v>16</v>
      </c>
      <c r="F286">
        <v>16</v>
      </c>
      <c r="G286">
        <v>16</v>
      </c>
      <c r="H286">
        <v>16</v>
      </c>
      <c r="I286">
        <v>16</v>
      </c>
      <c r="J286">
        <v>16</v>
      </c>
      <c r="K286">
        <v>16</v>
      </c>
      <c r="L286">
        <v>16</v>
      </c>
      <c r="M286">
        <v>16</v>
      </c>
      <c r="N286">
        <v>16</v>
      </c>
      <c r="O286">
        <v>16</v>
      </c>
      <c r="P286">
        <v>16</v>
      </c>
    </row>
    <row r="287" spans="1:16">
      <c r="A287" s="2" t="s">
        <v>304</v>
      </c>
      <c r="B287" s="2" t="s">
        <v>275</v>
      </c>
      <c r="C287">
        <v>8</v>
      </c>
      <c r="D287">
        <v>8</v>
      </c>
      <c r="E287">
        <v>8</v>
      </c>
      <c r="F287">
        <v>8</v>
      </c>
      <c r="G287">
        <v>8</v>
      </c>
      <c r="H287">
        <v>8</v>
      </c>
      <c r="I287">
        <v>8</v>
      </c>
      <c r="J287">
        <v>8</v>
      </c>
      <c r="K287">
        <v>8</v>
      </c>
      <c r="L287">
        <v>8</v>
      </c>
      <c r="M287">
        <v>8</v>
      </c>
      <c r="N287">
        <v>8</v>
      </c>
      <c r="O287">
        <v>8</v>
      </c>
      <c r="P287">
        <v>8</v>
      </c>
    </row>
    <row r="288" spans="1:16">
      <c r="A288" s="2" t="s">
        <v>305</v>
      </c>
      <c r="B288" s="2" t="s">
        <v>275</v>
      </c>
      <c r="C288">
        <v>5</v>
      </c>
      <c r="D288">
        <v>5</v>
      </c>
      <c r="E288">
        <v>5</v>
      </c>
      <c r="F288">
        <v>5</v>
      </c>
      <c r="G288">
        <v>5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5</v>
      </c>
    </row>
    <row r="289" spans="1:16">
      <c r="A289" s="2" t="s">
        <v>306</v>
      </c>
      <c r="B289" s="2" t="s">
        <v>275</v>
      </c>
      <c r="C289">
        <v>4</v>
      </c>
      <c r="D289">
        <v>4</v>
      </c>
      <c r="E289">
        <v>4</v>
      </c>
      <c r="F289">
        <v>4</v>
      </c>
      <c r="G289">
        <v>4</v>
      </c>
      <c r="H289">
        <v>4</v>
      </c>
      <c r="I289">
        <v>4</v>
      </c>
      <c r="J289">
        <v>4</v>
      </c>
      <c r="K289">
        <v>4</v>
      </c>
      <c r="L289">
        <v>4</v>
      </c>
      <c r="M289">
        <v>4</v>
      </c>
      <c r="N289">
        <v>4</v>
      </c>
      <c r="O289">
        <v>4</v>
      </c>
      <c r="P289">
        <v>4</v>
      </c>
    </row>
    <row r="290" spans="1:16">
      <c r="A290" s="2" t="s">
        <v>307</v>
      </c>
      <c r="B290" s="2" t="s">
        <v>275</v>
      </c>
      <c r="C290">
        <v>9</v>
      </c>
      <c r="D290">
        <v>9</v>
      </c>
      <c r="E290">
        <v>9</v>
      </c>
      <c r="F290">
        <v>9</v>
      </c>
      <c r="G290">
        <v>9</v>
      </c>
      <c r="H290">
        <v>9</v>
      </c>
      <c r="I290">
        <v>9</v>
      </c>
      <c r="J290">
        <v>9</v>
      </c>
      <c r="K290">
        <v>9</v>
      </c>
      <c r="L290">
        <v>9</v>
      </c>
      <c r="M290">
        <v>9</v>
      </c>
      <c r="N290">
        <v>9</v>
      </c>
      <c r="O290">
        <v>9</v>
      </c>
      <c r="P290">
        <v>9</v>
      </c>
    </row>
    <row r="291" spans="1:16">
      <c r="A291" s="2" t="s">
        <v>308</v>
      </c>
      <c r="B291" s="2" t="s">
        <v>275</v>
      </c>
      <c r="C291">
        <v>16</v>
      </c>
      <c r="D291">
        <v>16</v>
      </c>
      <c r="E291">
        <v>16</v>
      </c>
      <c r="F291">
        <v>16</v>
      </c>
      <c r="G291">
        <v>16</v>
      </c>
      <c r="H291">
        <v>16</v>
      </c>
      <c r="I291">
        <v>16</v>
      </c>
      <c r="J291">
        <v>16</v>
      </c>
      <c r="K291">
        <v>16</v>
      </c>
      <c r="L291">
        <v>16</v>
      </c>
      <c r="M291">
        <v>16</v>
      </c>
      <c r="N291">
        <v>16</v>
      </c>
      <c r="O291">
        <v>16</v>
      </c>
      <c r="P291">
        <v>16</v>
      </c>
    </row>
    <row r="292" spans="1:16">
      <c r="A292" s="2" t="s">
        <v>309</v>
      </c>
      <c r="B292" s="2" t="s">
        <v>275</v>
      </c>
      <c r="C292">
        <v>10</v>
      </c>
      <c r="D292">
        <v>10</v>
      </c>
      <c r="E292">
        <v>10</v>
      </c>
      <c r="F292">
        <v>10</v>
      </c>
      <c r="G292">
        <v>10</v>
      </c>
      <c r="H292">
        <v>10</v>
      </c>
      <c r="I292">
        <v>10</v>
      </c>
      <c r="J292">
        <v>10</v>
      </c>
      <c r="K292">
        <v>10</v>
      </c>
      <c r="L292">
        <v>10</v>
      </c>
      <c r="M292">
        <v>10</v>
      </c>
      <c r="N292">
        <v>10</v>
      </c>
      <c r="O292">
        <v>10</v>
      </c>
      <c r="P292">
        <v>10</v>
      </c>
    </row>
    <row r="293" spans="1:16">
      <c r="A293" t="s">
        <v>310</v>
      </c>
      <c r="B293" s="2" t="s">
        <v>275</v>
      </c>
      <c r="I293">
        <v>23</v>
      </c>
      <c r="J293">
        <v>23</v>
      </c>
      <c r="K293">
        <v>23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>
      <c r="A294" s="2" t="s">
        <v>311</v>
      </c>
      <c r="B294" s="2" t="s">
        <v>275</v>
      </c>
      <c r="C294">
        <v>23</v>
      </c>
      <c r="D294">
        <v>23</v>
      </c>
      <c r="E294">
        <v>23</v>
      </c>
      <c r="F294">
        <v>23</v>
      </c>
      <c r="G294">
        <v>23</v>
      </c>
      <c r="H294">
        <v>23</v>
      </c>
    </row>
    <row r="295" spans="1:16">
      <c r="A295" s="2" t="s">
        <v>312</v>
      </c>
      <c r="B295" s="2" t="s">
        <v>275</v>
      </c>
      <c r="C295">
        <v>5</v>
      </c>
    </row>
    <row r="296" spans="1:16">
      <c r="A296" s="2" t="s">
        <v>313</v>
      </c>
      <c r="B296" s="2" t="s">
        <v>275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>
      <c r="A297" s="2" t="s">
        <v>314</v>
      </c>
      <c r="B297" s="2" t="s">
        <v>275</v>
      </c>
      <c r="C297">
        <v>8</v>
      </c>
      <c r="D297">
        <v>8</v>
      </c>
      <c r="E297">
        <v>8</v>
      </c>
      <c r="F297">
        <v>8</v>
      </c>
      <c r="G297">
        <v>8</v>
      </c>
      <c r="H297">
        <v>8</v>
      </c>
      <c r="I297">
        <v>8</v>
      </c>
      <c r="J297">
        <v>8</v>
      </c>
      <c r="K297">
        <v>8</v>
      </c>
      <c r="L297">
        <v>8</v>
      </c>
      <c r="M297">
        <v>8</v>
      </c>
      <c r="N297">
        <v>8</v>
      </c>
      <c r="O297">
        <v>8</v>
      </c>
      <c r="P297">
        <v>8</v>
      </c>
    </row>
    <row r="298" spans="1:16">
      <c r="A298" s="2" t="s">
        <v>315</v>
      </c>
      <c r="B298" s="2" t="s">
        <v>275</v>
      </c>
      <c r="C298">
        <v>20</v>
      </c>
      <c r="D298">
        <v>20</v>
      </c>
      <c r="E298">
        <v>20</v>
      </c>
      <c r="F298">
        <v>20</v>
      </c>
      <c r="G298">
        <v>20</v>
      </c>
      <c r="H298">
        <v>20</v>
      </c>
      <c r="I298">
        <v>20</v>
      </c>
      <c r="J298">
        <v>20</v>
      </c>
      <c r="K298">
        <v>20</v>
      </c>
      <c r="L298">
        <v>20</v>
      </c>
      <c r="M298">
        <v>20</v>
      </c>
      <c r="N298">
        <v>20</v>
      </c>
      <c r="O298">
        <v>20</v>
      </c>
      <c r="P298">
        <v>20</v>
      </c>
    </row>
    <row r="299" spans="1:16">
      <c r="A299" s="2" t="s">
        <v>316</v>
      </c>
      <c r="B299" s="2" t="s">
        <v>275</v>
      </c>
      <c r="C299">
        <v>13</v>
      </c>
      <c r="D299">
        <v>13</v>
      </c>
      <c r="E299">
        <v>13</v>
      </c>
      <c r="F299">
        <v>13</v>
      </c>
      <c r="G299">
        <v>13</v>
      </c>
      <c r="H299">
        <v>13</v>
      </c>
      <c r="I299">
        <v>13</v>
      </c>
      <c r="J299">
        <v>13</v>
      </c>
      <c r="K299">
        <v>13</v>
      </c>
      <c r="L299">
        <v>13</v>
      </c>
      <c r="M299">
        <v>13</v>
      </c>
      <c r="N299">
        <v>13</v>
      </c>
      <c r="O299">
        <v>13</v>
      </c>
      <c r="P299">
        <v>13</v>
      </c>
    </row>
    <row r="300" spans="1:16">
      <c r="A300" s="2" t="s">
        <v>317</v>
      </c>
      <c r="B300" s="2" t="s">
        <v>275</v>
      </c>
      <c r="C300">
        <v>31</v>
      </c>
      <c r="D300">
        <v>31</v>
      </c>
      <c r="E300">
        <v>31</v>
      </c>
      <c r="F300">
        <v>31</v>
      </c>
      <c r="G300">
        <v>31</v>
      </c>
      <c r="H300">
        <v>31</v>
      </c>
      <c r="I300">
        <v>31</v>
      </c>
      <c r="J300">
        <v>31</v>
      </c>
      <c r="K300">
        <v>31</v>
      </c>
      <c r="L300">
        <v>31</v>
      </c>
      <c r="M300">
        <v>31</v>
      </c>
      <c r="N300">
        <v>31</v>
      </c>
      <c r="O300">
        <v>31</v>
      </c>
      <c r="P300">
        <v>31</v>
      </c>
    </row>
    <row r="301" spans="1:16">
      <c r="A301" s="2" t="s">
        <v>318</v>
      </c>
      <c r="B301" s="2" t="s">
        <v>275</v>
      </c>
      <c r="C301">
        <v>8</v>
      </c>
      <c r="D301">
        <v>8</v>
      </c>
      <c r="E301">
        <v>8</v>
      </c>
      <c r="F301">
        <v>8</v>
      </c>
      <c r="G301">
        <v>8</v>
      </c>
      <c r="H301">
        <v>8</v>
      </c>
      <c r="I301">
        <v>8</v>
      </c>
      <c r="J301">
        <v>8</v>
      </c>
      <c r="K301">
        <v>8</v>
      </c>
      <c r="L301">
        <v>8</v>
      </c>
      <c r="M301">
        <v>8</v>
      </c>
      <c r="N301">
        <v>8</v>
      </c>
      <c r="O301">
        <v>8</v>
      </c>
      <c r="P301">
        <v>8</v>
      </c>
    </row>
    <row r="302" spans="1:16">
      <c r="A302" s="2" t="s">
        <v>319</v>
      </c>
      <c r="B302" s="2" t="s">
        <v>275</v>
      </c>
      <c r="C302">
        <v>14</v>
      </c>
      <c r="D302">
        <v>14</v>
      </c>
      <c r="E302">
        <v>14</v>
      </c>
      <c r="F302">
        <v>14</v>
      </c>
      <c r="G302">
        <v>14</v>
      </c>
      <c r="H302">
        <v>14</v>
      </c>
      <c r="I302">
        <v>14</v>
      </c>
      <c r="J302">
        <v>14</v>
      </c>
      <c r="K302">
        <v>14</v>
      </c>
      <c r="L302">
        <v>14</v>
      </c>
      <c r="M302">
        <v>14</v>
      </c>
      <c r="N302">
        <v>14</v>
      </c>
      <c r="O302">
        <v>14</v>
      </c>
      <c r="P302">
        <v>14</v>
      </c>
    </row>
    <row r="303" spans="1:16">
      <c r="A303" s="2" t="s">
        <v>320</v>
      </c>
      <c r="B303" s="2" t="s">
        <v>275</v>
      </c>
      <c r="C303">
        <v>19</v>
      </c>
      <c r="D303">
        <v>19</v>
      </c>
      <c r="E303">
        <v>19</v>
      </c>
      <c r="F303">
        <v>19</v>
      </c>
      <c r="G303">
        <v>19</v>
      </c>
      <c r="H303">
        <v>19</v>
      </c>
      <c r="I303">
        <v>19</v>
      </c>
      <c r="J303">
        <v>19</v>
      </c>
      <c r="K303">
        <v>19</v>
      </c>
      <c r="L303">
        <v>19</v>
      </c>
      <c r="M303">
        <v>19</v>
      </c>
      <c r="N303">
        <v>19</v>
      </c>
      <c r="O303">
        <v>19</v>
      </c>
      <c r="P303">
        <v>19</v>
      </c>
    </row>
    <row r="304" spans="1:16">
      <c r="A304" s="2" t="s">
        <v>321</v>
      </c>
      <c r="B304" s="2" t="s">
        <v>275</v>
      </c>
      <c r="C304">
        <v>21</v>
      </c>
      <c r="D304">
        <v>21</v>
      </c>
      <c r="E304">
        <v>21</v>
      </c>
      <c r="F304">
        <v>21</v>
      </c>
      <c r="G304">
        <v>21</v>
      </c>
      <c r="H304">
        <v>21</v>
      </c>
      <c r="I304">
        <v>21</v>
      </c>
      <c r="J304">
        <v>21</v>
      </c>
      <c r="K304">
        <v>21</v>
      </c>
      <c r="L304">
        <v>21</v>
      </c>
      <c r="M304">
        <v>21</v>
      </c>
    </row>
    <row r="305" spans="1:16">
      <c r="A305" s="2" t="s">
        <v>322</v>
      </c>
      <c r="B305" s="2" t="s">
        <v>275</v>
      </c>
      <c r="C305">
        <v>8</v>
      </c>
      <c r="D305">
        <v>8</v>
      </c>
      <c r="E305">
        <v>8</v>
      </c>
      <c r="F305">
        <v>8</v>
      </c>
      <c r="G305">
        <v>8</v>
      </c>
      <c r="H305">
        <v>8</v>
      </c>
      <c r="I305">
        <v>8</v>
      </c>
      <c r="J305">
        <v>8</v>
      </c>
      <c r="K305">
        <v>8</v>
      </c>
      <c r="L305">
        <v>8</v>
      </c>
      <c r="M305">
        <v>8</v>
      </c>
      <c r="N305">
        <v>8</v>
      </c>
      <c r="O305">
        <v>8</v>
      </c>
      <c r="P305">
        <v>8</v>
      </c>
    </row>
    <row r="306" spans="1:16">
      <c r="A306" s="2" t="s">
        <v>323</v>
      </c>
      <c r="B306" s="2" t="s">
        <v>275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</row>
    <row r="307" spans="1:16">
      <c r="A307" s="2" t="s">
        <v>324</v>
      </c>
      <c r="B307" s="2" t="s">
        <v>275</v>
      </c>
      <c r="N307">
        <v>21</v>
      </c>
      <c r="O307">
        <v>21</v>
      </c>
      <c r="P307">
        <v>21</v>
      </c>
    </row>
    <row r="308" spans="1:16">
      <c r="A308" s="2" t="s">
        <v>325</v>
      </c>
      <c r="B308" s="2" t="s">
        <v>275</v>
      </c>
      <c r="C308">
        <v>26</v>
      </c>
      <c r="D308">
        <v>26</v>
      </c>
      <c r="E308">
        <v>26</v>
      </c>
      <c r="F308">
        <v>26</v>
      </c>
      <c r="G308">
        <v>26</v>
      </c>
      <c r="H308">
        <v>26</v>
      </c>
      <c r="I308">
        <v>26</v>
      </c>
      <c r="J308">
        <v>26</v>
      </c>
      <c r="K308">
        <v>26</v>
      </c>
      <c r="L308">
        <v>26</v>
      </c>
      <c r="M308">
        <v>26</v>
      </c>
      <c r="N308">
        <v>26</v>
      </c>
      <c r="O308">
        <v>26</v>
      </c>
      <c r="P308">
        <v>26</v>
      </c>
    </row>
    <row r="309" spans="1:16">
      <c r="A309" s="2" t="s">
        <v>326</v>
      </c>
      <c r="B309" s="2" t="s">
        <v>275</v>
      </c>
      <c r="C309">
        <v>8</v>
      </c>
      <c r="D309">
        <v>8</v>
      </c>
      <c r="E309">
        <v>8</v>
      </c>
      <c r="F309">
        <v>8</v>
      </c>
      <c r="G309">
        <v>8</v>
      </c>
      <c r="H309">
        <v>8</v>
      </c>
      <c r="I309">
        <v>8</v>
      </c>
      <c r="J309">
        <v>8</v>
      </c>
      <c r="K309">
        <v>8</v>
      </c>
      <c r="L309">
        <v>8</v>
      </c>
      <c r="M309">
        <v>8</v>
      </c>
      <c r="N309">
        <v>8</v>
      </c>
      <c r="O309">
        <v>8</v>
      </c>
      <c r="P309">
        <v>8</v>
      </c>
    </row>
    <row r="310" spans="1:16">
      <c r="A310" s="2" t="s">
        <v>327</v>
      </c>
      <c r="B310" s="2" t="s">
        <v>275</v>
      </c>
      <c r="C310">
        <v>9</v>
      </c>
      <c r="D310">
        <v>9</v>
      </c>
      <c r="E310">
        <v>9</v>
      </c>
      <c r="F310">
        <v>9</v>
      </c>
      <c r="G310">
        <v>9</v>
      </c>
      <c r="H310">
        <v>9</v>
      </c>
      <c r="I310">
        <v>9</v>
      </c>
      <c r="J310">
        <v>9</v>
      </c>
      <c r="K310">
        <v>9</v>
      </c>
      <c r="L310">
        <v>9</v>
      </c>
      <c r="M310">
        <v>9</v>
      </c>
      <c r="N310">
        <v>9</v>
      </c>
      <c r="O310">
        <v>9</v>
      </c>
      <c r="P310">
        <v>9</v>
      </c>
    </row>
    <row r="311" spans="1:16">
      <c r="A311" s="2" t="s">
        <v>328</v>
      </c>
      <c r="B311" s="2" t="s">
        <v>275</v>
      </c>
      <c r="C311">
        <v>32</v>
      </c>
      <c r="D311">
        <v>32</v>
      </c>
      <c r="E311">
        <v>32</v>
      </c>
      <c r="F311">
        <v>32</v>
      </c>
      <c r="G311">
        <v>32</v>
      </c>
      <c r="H311">
        <v>32</v>
      </c>
      <c r="I311">
        <v>32</v>
      </c>
      <c r="J311">
        <v>32</v>
      </c>
      <c r="K311">
        <v>32</v>
      </c>
      <c r="L311">
        <v>32</v>
      </c>
      <c r="M311">
        <v>32</v>
      </c>
      <c r="N311">
        <v>32</v>
      </c>
      <c r="O311">
        <v>32</v>
      </c>
      <c r="P311">
        <v>32</v>
      </c>
    </row>
    <row r="312" spans="1:16">
      <c r="A312" s="2" t="s">
        <v>329</v>
      </c>
      <c r="B312" s="2" t="s">
        <v>275</v>
      </c>
      <c r="C312">
        <v>64</v>
      </c>
      <c r="D312">
        <v>64</v>
      </c>
      <c r="E312">
        <v>64</v>
      </c>
      <c r="F312">
        <v>64</v>
      </c>
      <c r="G312">
        <v>64</v>
      </c>
      <c r="H312">
        <v>64</v>
      </c>
      <c r="I312">
        <v>64</v>
      </c>
      <c r="J312">
        <v>64</v>
      </c>
      <c r="K312">
        <v>64</v>
      </c>
      <c r="L312">
        <v>64</v>
      </c>
      <c r="M312">
        <v>64</v>
      </c>
      <c r="N312">
        <v>64</v>
      </c>
      <c r="O312">
        <v>64</v>
      </c>
      <c r="P312">
        <v>64</v>
      </c>
    </row>
    <row r="313" spans="1:16">
      <c r="A313" s="2" t="s">
        <v>330</v>
      </c>
      <c r="B313" s="2" t="s">
        <v>275</v>
      </c>
      <c r="C313">
        <v>21</v>
      </c>
      <c r="D313">
        <v>21</v>
      </c>
      <c r="E313">
        <v>21</v>
      </c>
      <c r="F313">
        <v>21</v>
      </c>
      <c r="G313">
        <v>21</v>
      </c>
      <c r="H313">
        <v>21</v>
      </c>
      <c r="I313">
        <v>21</v>
      </c>
      <c r="J313">
        <v>21</v>
      </c>
      <c r="K313">
        <v>21</v>
      </c>
      <c r="L313">
        <v>21</v>
      </c>
      <c r="M313">
        <v>21</v>
      </c>
      <c r="N313">
        <v>21</v>
      </c>
      <c r="O313">
        <v>21</v>
      </c>
      <c r="P313">
        <v>21</v>
      </c>
    </row>
    <row r="314" spans="1:16">
      <c r="A314" s="2" t="s">
        <v>331</v>
      </c>
      <c r="B314" s="2" t="s">
        <v>275</v>
      </c>
      <c r="C314">
        <v>9</v>
      </c>
      <c r="D314">
        <v>9</v>
      </c>
      <c r="E314">
        <v>9</v>
      </c>
      <c r="F314">
        <v>9</v>
      </c>
      <c r="G314">
        <v>9</v>
      </c>
      <c r="H314">
        <v>9</v>
      </c>
      <c r="I314">
        <v>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 s="2" t="s">
        <v>332</v>
      </c>
      <c r="B315" s="2" t="s">
        <v>275</v>
      </c>
      <c r="C315">
        <v>8</v>
      </c>
      <c r="D315">
        <v>8</v>
      </c>
      <c r="E315">
        <v>8</v>
      </c>
      <c r="F315">
        <v>8</v>
      </c>
      <c r="G315">
        <v>8</v>
      </c>
      <c r="H315">
        <v>8</v>
      </c>
      <c r="I315">
        <v>8</v>
      </c>
      <c r="J315">
        <v>8</v>
      </c>
      <c r="K315">
        <v>8</v>
      </c>
      <c r="L315">
        <v>8</v>
      </c>
      <c r="M315">
        <v>8</v>
      </c>
      <c r="N315">
        <v>8</v>
      </c>
      <c r="O315">
        <v>8</v>
      </c>
      <c r="P315">
        <v>8</v>
      </c>
    </row>
    <row r="316" spans="1:16">
      <c r="A316" s="2" t="s">
        <v>333</v>
      </c>
      <c r="B316" s="2" t="s">
        <v>275</v>
      </c>
      <c r="C316">
        <v>12</v>
      </c>
      <c r="D316">
        <v>12</v>
      </c>
      <c r="E316">
        <v>12</v>
      </c>
      <c r="F316">
        <v>12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12</v>
      </c>
      <c r="M316">
        <v>12</v>
      </c>
      <c r="N316">
        <v>12</v>
      </c>
      <c r="O316">
        <v>12</v>
      </c>
      <c r="P316">
        <v>12</v>
      </c>
    </row>
    <row r="317" spans="1:16">
      <c r="A317" s="2" t="s">
        <v>334</v>
      </c>
      <c r="B317" s="2" t="s">
        <v>275</v>
      </c>
      <c r="C317">
        <v>7</v>
      </c>
      <c r="D317">
        <v>7</v>
      </c>
      <c r="E317">
        <v>7</v>
      </c>
      <c r="F317">
        <v>7</v>
      </c>
      <c r="G317">
        <v>7</v>
      </c>
      <c r="H317">
        <v>7</v>
      </c>
      <c r="I317">
        <v>7</v>
      </c>
      <c r="J317">
        <v>7</v>
      </c>
      <c r="K317">
        <v>7</v>
      </c>
      <c r="L317">
        <v>7</v>
      </c>
      <c r="M317">
        <v>7</v>
      </c>
      <c r="N317">
        <v>7</v>
      </c>
      <c r="O317">
        <v>7</v>
      </c>
      <c r="P317">
        <v>7</v>
      </c>
    </row>
    <row r="318" spans="1:16">
      <c r="A318" s="2" t="s">
        <v>335</v>
      </c>
      <c r="B318" s="2" t="s">
        <v>275</v>
      </c>
      <c r="C318">
        <v>7</v>
      </c>
      <c r="D318">
        <v>7</v>
      </c>
      <c r="E318">
        <v>7</v>
      </c>
      <c r="F318">
        <v>7</v>
      </c>
      <c r="G318">
        <v>7</v>
      </c>
      <c r="H318">
        <v>7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7</v>
      </c>
      <c r="O318">
        <v>7</v>
      </c>
      <c r="P318">
        <v>7</v>
      </c>
    </row>
    <row r="319" spans="1:16">
      <c r="A319" s="2" t="s">
        <v>336</v>
      </c>
      <c r="B319" s="2" t="s">
        <v>275</v>
      </c>
      <c r="C319">
        <v>31</v>
      </c>
      <c r="D319">
        <v>31</v>
      </c>
      <c r="E319">
        <v>31</v>
      </c>
      <c r="F319">
        <v>31</v>
      </c>
      <c r="G319">
        <v>31</v>
      </c>
      <c r="H319">
        <v>31</v>
      </c>
      <c r="I319">
        <v>31</v>
      </c>
      <c r="J319">
        <v>31</v>
      </c>
      <c r="K319">
        <v>31</v>
      </c>
      <c r="L319">
        <v>31</v>
      </c>
      <c r="M319">
        <v>31</v>
      </c>
      <c r="N319">
        <v>31</v>
      </c>
      <c r="O319">
        <v>31</v>
      </c>
      <c r="P319">
        <v>31</v>
      </c>
    </row>
    <row r="320" spans="1:16">
      <c r="A320" s="2" t="s">
        <v>337</v>
      </c>
      <c r="B320" s="2" t="s">
        <v>275</v>
      </c>
      <c r="C320">
        <v>24</v>
      </c>
      <c r="D320">
        <v>24</v>
      </c>
      <c r="E320">
        <v>24</v>
      </c>
      <c r="F320">
        <v>24</v>
      </c>
      <c r="G320">
        <v>24</v>
      </c>
      <c r="H320">
        <v>24</v>
      </c>
      <c r="I320">
        <v>24</v>
      </c>
      <c r="J320">
        <v>24</v>
      </c>
      <c r="K320">
        <v>24</v>
      </c>
      <c r="L320">
        <v>24</v>
      </c>
      <c r="M320">
        <v>24</v>
      </c>
      <c r="N320">
        <v>24</v>
      </c>
      <c r="O320">
        <v>24</v>
      </c>
      <c r="P320">
        <v>24</v>
      </c>
    </row>
    <row r="321" spans="1:16">
      <c r="A321" s="2" t="s">
        <v>338</v>
      </c>
      <c r="B321" s="2" t="s">
        <v>275</v>
      </c>
      <c r="C321">
        <v>6</v>
      </c>
      <c r="D321">
        <v>6</v>
      </c>
      <c r="E321">
        <v>6</v>
      </c>
      <c r="F321">
        <v>6</v>
      </c>
      <c r="G321">
        <v>6</v>
      </c>
      <c r="H321">
        <v>6</v>
      </c>
      <c r="I321">
        <v>6</v>
      </c>
    </row>
    <row r="322" spans="1:16">
      <c r="A322" s="2" t="s">
        <v>339</v>
      </c>
      <c r="B322" s="2" t="s">
        <v>275</v>
      </c>
      <c r="J322">
        <v>6</v>
      </c>
      <c r="K322">
        <v>6</v>
      </c>
    </row>
    <row r="323" spans="1:16">
      <c r="A323" s="2" t="s">
        <v>340</v>
      </c>
      <c r="B323" s="2" t="s">
        <v>275</v>
      </c>
      <c r="C323">
        <v>19</v>
      </c>
      <c r="D323">
        <v>19</v>
      </c>
      <c r="E323">
        <v>19</v>
      </c>
      <c r="F323">
        <v>19</v>
      </c>
      <c r="G323">
        <v>19</v>
      </c>
      <c r="H323">
        <v>19</v>
      </c>
      <c r="I323">
        <v>19</v>
      </c>
      <c r="J323">
        <v>19</v>
      </c>
      <c r="K323">
        <v>19</v>
      </c>
      <c r="L323">
        <v>19</v>
      </c>
      <c r="M323">
        <v>19</v>
      </c>
      <c r="N323">
        <v>19</v>
      </c>
      <c r="O323">
        <v>19</v>
      </c>
      <c r="P323">
        <v>19</v>
      </c>
    </row>
    <row r="324" spans="1:16">
      <c r="A324" s="2" t="s">
        <v>341</v>
      </c>
      <c r="B324" s="2" t="s">
        <v>342</v>
      </c>
      <c r="C324">
        <v>219</v>
      </c>
      <c r="D324">
        <v>219</v>
      </c>
      <c r="E324">
        <v>219</v>
      </c>
      <c r="F324">
        <v>219</v>
      </c>
      <c r="G324">
        <v>201</v>
      </c>
      <c r="H324">
        <v>201</v>
      </c>
      <c r="I324">
        <v>186</v>
      </c>
      <c r="J324">
        <v>186</v>
      </c>
      <c r="K324">
        <v>186</v>
      </c>
      <c r="L324">
        <v>186</v>
      </c>
      <c r="M324">
        <v>186</v>
      </c>
      <c r="N324">
        <v>186</v>
      </c>
      <c r="O324">
        <v>186</v>
      </c>
      <c r="P324">
        <v>186</v>
      </c>
    </row>
    <row r="325" spans="1:16">
      <c r="A325" s="2" t="s">
        <v>343</v>
      </c>
      <c r="B325" s="2" t="s">
        <v>342</v>
      </c>
      <c r="C325">
        <v>19</v>
      </c>
      <c r="D325">
        <v>19</v>
      </c>
      <c r="E325">
        <v>19</v>
      </c>
      <c r="F325">
        <v>19</v>
      </c>
      <c r="G325">
        <v>19</v>
      </c>
      <c r="H325">
        <v>19</v>
      </c>
      <c r="I325">
        <v>19</v>
      </c>
      <c r="J325">
        <v>19</v>
      </c>
      <c r="K325">
        <v>19</v>
      </c>
      <c r="L325">
        <v>19</v>
      </c>
      <c r="M325">
        <v>19</v>
      </c>
      <c r="N325">
        <v>19</v>
      </c>
      <c r="O325">
        <v>19</v>
      </c>
      <c r="P325">
        <v>19</v>
      </c>
    </row>
    <row r="326" spans="1:16">
      <c r="A326" s="2" t="s">
        <v>344</v>
      </c>
      <c r="B326" s="2" t="s">
        <v>342</v>
      </c>
      <c r="C326">
        <v>10</v>
      </c>
      <c r="D326">
        <v>10</v>
      </c>
      <c r="E326">
        <v>10</v>
      </c>
      <c r="F326">
        <v>10</v>
      </c>
      <c r="G326">
        <v>10</v>
      </c>
      <c r="H326">
        <v>10</v>
      </c>
      <c r="I326">
        <v>10</v>
      </c>
      <c r="J326">
        <v>10</v>
      </c>
      <c r="K326">
        <v>10</v>
      </c>
      <c r="L326">
        <v>10</v>
      </c>
      <c r="M326">
        <v>10</v>
      </c>
      <c r="N326">
        <v>10</v>
      </c>
      <c r="O326">
        <v>10</v>
      </c>
      <c r="P326">
        <v>10</v>
      </c>
    </row>
    <row r="327" spans="1:16">
      <c r="A327" s="2" t="s">
        <v>345</v>
      </c>
      <c r="B327" s="2" t="s">
        <v>342</v>
      </c>
      <c r="C327">
        <v>95</v>
      </c>
      <c r="D327">
        <v>95</v>
      </c>
      <c r="E327">
        <v>95</v>
      </c>
      <c r="G327">
        <v>95</v>
      </c>
      <c r="H327">
        <v>95</v>
      </c>
      <c r="I327">
        <v>95</v>
      </c>
      <c r="J327">
        <v>95</v>
      </c>
      <c r="K327">
        <v>95</v>
      </c>
      <c r="L327">
        <v>95</v>
      </c>
      <c r="M327">
        <v>95</v>
      </c>
      <c r="N327">
        <v>95</v>
      </c>
      <c r="O327">
        <v>95</v>
      </c>
      <c r="P327">
        <v>95</v>
      </c>
    </row>
    <row r="328" spans="1:16">
      <c r="A328" s="2" t="s">
        <v>346</v>
      </c>
      <c r="B328" s="2" t="s">
        <v>342</v>
      </c>
      <c r="F328">
        <v>95</v>
      </c>
    </row>
    <row r="329" spans="1:16">
      <c r="A329" s="2" t="s">
        <v>347</v>
      </c>
      <c r="B329" s="2" t="s">
        <v>342</v>
      </c>
      <c r="C329">
        <v>21</v>
      </c>
      <c r="D329">
        <v>21</v>
      </c>
      <c r="E329">
        <v>21</v>
      </c>
      <c r="F329">
        <v>21</v>
      </c>
      <c r="G329">
        <v>21</v>
      </c>
      <c r="H329">
        <v>21</v>
      </c>
      <c r="I329">
        <v>21</v>
      </c>
      <c r="J329">
        <v>21</v>
      </c>
      <c r="K329">
        <v>21</v>
      </c>
      <c r="L329">
        <v>21</v>
      </c>
      <c r="M329">
        <v>21</v>
      </c>
      <c r="N329">
        <v>21</v>
      </c>
      <c r="O329">
        <v>21</v>
      </c>
      <c r="P329">
        <v>21</v>
      </c>
    </row>
    <row r="330" spans="1:16">
      <c r="A330" s="2" t="s">
        <v>348</v>
      </c>
      <c r="B330" s="2" t="s">
        <v>342</v>
      </c>
      <c r="C330">
        <v>416</v>
      </c>
      <c r="D330">
        <v>416</v>
      </c>
      <c r="E330">
        <v>416</v>
      </c>
      <c r="F330">
        <v>416</v>
      </c>
      <c r="G330">
        <v>416</v>
      </c>
      <c r="H330">
        <v>416</v>
      </c>
      <c r="I330">
        <v>416</v>
      </c>
      <c r="J330">
        <v>416</v>
      </c>
      <c r="K330">
        <v>416</v>
      </c>
      <c r="L330">
        <v>416</v>
      </c>
      <c r="M330">
        <v>416</v>
      </c>
      <c r="N330">
        <v>416</v>
      </c>
      <c r="O330">
        <v>416</v>
      </c>
      <c r="P330">
        <v>416</v>
      </c>
    </row>
    <row r="331" spans="1:16">
      <c r="A331" s="2" t="s">
        <v>349</v>
      </c>
      <c r="B331" s="2" t="s">
        <v>342</v>
      </c>
      <c r="C331">
        <v>16</v>
      </c>
      <c r="D331">
        <v>16</v>
      </c>
      <c r="E331">
        <v>16</v>
      </c>
      <c r="F331">
        <v>16</v>
      </c>
      <c r="G331">
        <v>16</v>
      </c>
      <c r="H331">
        <v>16</v>
      </c>
      <c r="I331">
        <v>16</v>
      </c>
      <c r="J331">
        <v>16</v>
      </c>
      <c r="K331">
        <v>16</v>
      </c>
      <c r="L331">
        <v>16</v>
      </c>
      <c r="M331">
        <v>16</v>
      </c>
      <c r="N331">
        <v>16</v>
      </c>
      <c r="O331">
        <v>16</v>
      </c>
      <c r="P331">
        <v>16</v>
      </c>
    </row>
    <row r="332" spans="1:16">
      <c r="A332" s="2" t="s">
        <v>350</v>
      </c>
      <c r="B332" s="2" t="s">
        <v>342</v>
      </c>
      <c r="C332">
        <v>48</v>
      </c>
      <c r="D332">
        <v>48</v>
      </c>
      <c r="E332">
        <v>48</v>
      </c>
      <c r="F332">
        <v>48</v>
      </c>
      <c r="G332">
        <v>48</v>
      </c>
      <c r="H332">
        <v>48</v>
      </c>
      <c r="I332">
        <v>48</v>
      </c>
      <c r="J332">
        <v>48</v>
      </c>
      <c r="K332">
        <v>48</v>
      </c>
      <c r="L332">
        <v>48</v>
      </c>
      <c r="M332">
        <v>48</v>
      </c>
      <c r="N332">
        <v>48</v>
      </c>
      <c r="O332">
        <v>48</v>
      </c>
      <c r="P332">
        <v>48</v>
      </c>
    </row>
    <row r="333" spans="1:16">
      <c r="A333" s="2" t="s">
        <v>351</v>
      </c>
      <c r="B333" s="2" t="s">
        <v>342</v>
      </c>
      <c r="C333">
        <v>60</v>
      </c>
      <c r="D333">
        <v>60</v>
      </c>
      <c r="E333">
        <v>60</v>
      </c>
      <c r="F333">
        <v>60</v>
      </c>
      <c r="G333">
        <v>60</v>
      </c>
      <c r="H333">
        <v>60</v>
      </c>
      <c r="I333">
        <v>60</v>
      </c>
      <c r="J333">
        <v>60</v>
      </c>
      <c r="K333">
        <v>60</v>
      </c>
      <c r="L333">
        <v>60</v>
      </c>
      <c r="M333">
        <v>60</v>
      </c>
      <c r="N333">
        <v>60</v>
      </c>
      <c r="O333">
        <v>60</v>
      </c>
      <c r="P333">
        <v>60</v>
      </c>
    </row>
    <row r="334" spans="1:16">
      <c r="A334" s="2" t="s">
        <v>352</v>
      </c>
      <c r="B334" s="2" t="s">
        <v>342</v>
      </c>
      <c r="C334">
        <v>38</v>
      </c>
      <c r="D334">
        <v>38</v>
      </c>
      <c r="E334">
        <v>38</v>
      </c>
      <c r="F334">
        <v>38</v>
      </c>
      <c r="G334">
        <v>38</v>
      </c>
      <c r="H334">
        <v>38</v>
      </c>
      <c r="I334">
        <v>38</v>
      </c>
      <c r="J334">
        <v>38</v>
      </c>
      <c r="K334">
        <v>38</v>
      </c>
      <c r="L334">
        <v>38</v>
      </c>
      <c r="M334">
        <v>38</v>
      </c>
      <c r="N334">
        <v>38</v>
      </c>
      <c r="O334">
        <v>38</v>
      </c>
      <c r="P334">
        <v>38</v>
      </c>
    </row>
    <row r="335" spans="1:16">
      <c r="A335" s="2" t="s">
        <v>353</v>
      </c>
      <c r="B335" s="2" t="s">
        <v>342</v>
      </c>
      <c r="C335">
        <v>93</v>
      </c>
      <c r="D335">
        <v>93</v>
      </c>
      <c r="E335">
        <v>93</v>
      </c>
      <c r="F335">
        <v>93</v>
      </c>
      <c r="G335">
        <v>93</v>
      </c>
      <c r="H335">
        <v>93</v>
      </c>
      <c r="I335">
        <v>93</v>
      </c>
      <c r="J335">
        <v>93</v>
      </c>
      <c r="K335">
        <v>93</v>
      </c>
      <c r="L335">
        <v>93</v>
      </c>
      <c r="M335">
        <v>93</v>
      </c>
      <c r="N335">
        <v>93</v>
      </c>
      <c r="O335">
        <v>93</v>
      </c>
      <c r="P335">
        <v>93</v>
      </c>
    </row>
    <row r="336" spans="1:16">
      <c r="A336" s="2" t="s">
        <v>354</v>
      </c>
      <c r="B336" s="2" t="s">
        <v>355</v>
      </c>
      <c r="C336">
        <v>32</v>
      </c>
      <c r="D336">
        <v>32</v>
      </c>
      <c r="E336">
        <v>32</v>
      </c>
      <c r="F336">
        <v>32</v>
      </c>
      <c r="G336">
        <v>32</v>
      </c>
      <c r="H336">
        <v>32</v>
      </c>
      <c r="I336">
        <v>32</v>
      </c>
      <c r="J336">
        <v>32</v>
      </c>
      <c r="K336">
        <v>32</v>
      </c>
      <c r="L336">
        <v>32</v>
      </c>
      <c r="M336">
        <v>32</v>
      </c>
      <c r="N336">
        <v>32</v>
      </c>
      <c r="O336">
        <v>32</v>
      </c>
      <c r="P336">
        <v>32</v>
      </c>
    </row>
    <row r="337" spans="1:16">
      <c r="A337" s="2" t="s">
        <v>356</v>
      </c>
      <c r="B337" s="2" t="s">
        <v>355</v>
      </c>
      <c r="C337">
        <v>5</v>
      </c>
      <c r="D337">
        <v>5</v>
      </c>
      <c r="E337">
        <v>5</v>
      </c>
      <c r="F337">
        <v>5</v>
      </c>
      <c r="G337">
        <v>5</v>
      </c>
      <c r="H337">
        <v>5</v>
      </c>
      <c r="I337">
        <v>5</v>
      </c>
      <c r="J337">
        <v>5</v>
      </c>
      <c r="K337">
        <v>5</v>
      </c>
      <c r="L337">
        <v>5</v>
      </c>
      <c r="M337">
        <v>5</v>
      </c>
      <c r="N337">
        <v>5</v>
      </c>
      <c r="O337">
        <v>5</v>
      </c>
      <c r="P337">
        <v>5</v>
      </c>
    </row>
    <row r="338" spans="1:16">
      <c r="A338" s="2" t="s">
        <v>357</v>
      </c>
      <c r="B338" s="2" t="s">
        <v>355</v>
      </c>
      <c r="C338">
        <v>110</v>
      </c>
      <c r="D338">
        <v>110</v>
      </c>
      <c r="E338">
        <v>110</v>
      </c>
      <c r="F338">
        <v>110</v>
      </c>
      <c r="G338">
        <v>110</v>
      </c>
      <c r="H338">
        <v>110</v>
      </c>
      <c r="I338">
        <v>110</v>
      </c>
      <c r="J338">
        <v>110</v>
      </c>
      <c r="K338">
        <v>110</v>
      </c>
      <c r="L338">
        <v>110</v>
      </c>
      <c r="M338">
        <v>110</v>
      </c>
      <c r="N338">
        <v>110</v>
      </c>
      <c r="O338">
        <v>110</v>
      </c>
      <c r="P338">
        <v>110</v>
      </c>
    </row>
    <row r="339" spans="1:16">
      <c r="A339" s="2" t="s">
        <v>358</v>
      </c>
      <c r="B339" s="2" t="s">
        <v>355</v>
      </c>
      <c r="C339">
        <v>24</v>
      </c>
      <c r="D339">
        <v>24</v>
      </c>
      <c r="E339">
        <v>24</v>
      </c>
      <c r="F339">
        <v>24</v>
      </c>
      <c r="G339">
        <v>24</v>
      </c>
      <c r="H339">
        <v>24</v>
      </c>
      <c r="I339">
        <v>24</v>
      </c>
      <c r="J339">
        <v>24</v>
      </c>
      <c r="K339">
        <v>24</v>
      </c>
    </row>
    <row r="340" spans="1:16">
      <c r="A340" s="2" t="s">
        <v>359</v>
      </c>
      <c r="B340" s="2" t="s">
        <v>355</v>
      </c>
      <c r="C340">
        <v>25</v>
      </c>
      <c r="D340">
        <v>25</v>
      </c>
      <c r="E340">
        <v>25</v>
      </c>
      <c r="F340">
        <v>25</v>
      </c>
      <c r="G340">
        <v>25</v>
      </c>
      <c r="H340">
        <v>25</v>
      </c>
      <c r="I340">
        <v>25</v>
      </c>
      <c r="J340">
        <v>25</v>
      </c>
      <c r="K340">
        <v>25</v>
      </c>
    </row>
    <row r="341" spans="1:16">
      <c r="A341" s="2" t="s">
        <v>360</v>
      </c>
      <c r="B341" s="2" t="s">
        <v>355</v>
      </c>
      <c r="C341">
        <v>25</v>
      </c>
      <c r="D341">
        <v>25</v>
      </c>
      <c r="E341">
        <v>25</v>
      </c>
      <c r="F341">
        <v>25</v>
      </c>
      <c r="G341">
        <v>25</v>
      </c>
      <c r="H341">
        <v>25</v>
      </c>
      <c r="I341">
        <v>25</v>
      </c>
      <c r="J341">
        <v>25</v>
      </c>
      <c r="K341">
        <v>25</v>
      </c>
    </row>
    <row r="342" spans="1:16">
      <c r="A342" s="2" t="s">
        <v>361</v>
      </c>
      <c r="B342" s="2" t="s">
        <v>355</v>
      </c>
      <c r="C342">
        <v>50</v>
      </c>
      <c r="D342">
        <v>50</v>
      </c>
      <c r="E342">
        <v>50</v>
      </c>
      <c r="F342">
        <v>50</v>
      </c>
      <c r="G342">
        <v>50</v>
      </c>
      <c r="H342">
        <v>50</v>
      </c>
      <c r="I342">
        <v>50</v>
      </c>
      <c r="J342">
        <v>50</v>
      </c>
      <c r="K342">
        <v>50</v>
      </c>
    </row>
    <row r="343" spans="1:16">
      <c r="A343" s="2" t="s">
        <v>362</v>
      </c>
      <c r="B343" s="2" t="s">
        <v>355</v>
      </c>
      <c r="L343">
        <v>124</v>
      </c>
    </row>
    <row r="344" spans="1:16">
      <c r="A344" s="2" t="s">
        <v>363</v>
      </c>
      <c r="B344" s="2" t="s">
        <v>355</v>
      </c>
      <c r="M344">
        <v>124</v>
      </c>
    </row>
    <row r="345" spans="1:16">
      <c r="A345" s="2" t="s">
        <v>364</v>
      </c>
      <c r="B345" s="2" t="s">
        <v>355</v>
      </c>
      <c r="N345">
        <v>124</v>
      </c>
    </row>
    <row r="346" spans="1:16">
      <c r="A346" s="2" t="s">
        <v>365</v>
      </c>
      <c r="B346" s="2" t="s">
        <v>355</v>
      </c>
      <c r="C346">
        <v>64</v>
      </c>
      <c r="D346">
        <v>64</v>
      </c>
      <c r="E346">
        <v>64</v>
      </c>
      <c r="F346">
        <v>64</v>
      </c>
      <c r="G346">
        <v>64</v>
      </c>
      <c r="H346">
        <v>64</v>
      </c>
      <c r="I346">
        <v>64</v>
      </c>
      <c r="J346">
        <v>64</v>
      </c>
      <c r="K346">
        <v>64</v>
      </c>
      <c r="L346">
        <v>64</v>
      </c>
      <c r="M346">
        <v>64</v>
      </c>
      <c r="N346">
        <v>64</v>
      </c>
      <c r="O346">
        <v>64</v>
      </c>
      <c r="P346">
        <v>64</v>
      </c>
    </row>
    <row r="347" spans="1:16">
      <c r="A347" s="2" t="s">
        <v>366</v>
      </c>
      <c r="B347" s="2" t="s">
        <v>355</v>
      </c>
      <c r="C347">
        <v>438</v>
      </c>
      <c r="D347">
        <v>438</v>
      </c>
      <c r="E347">
        <v>438</v>
      </c>
      <c r="F347">
        <v>438</v>
      </c>
      <c r="G347">
        <v>438</v>
      </c>
      <c r="H347">
        <v>438</v>
      </c>
      <c r="I347">
        <v>438</v>
      </c>
      <c r="J347">
        <v>438</v>
      </c>
      <c r="K347">
        <v>438</v>
      </c>
    </row>
    <row r="348" spans="1:16">
      <c r="A348" s="2" t="s">
        <v>367</v>
      </c>
      <c r="B348" s="2" t="s">
        <v>355</v>
      </c>
      <c r="C348">
        <v>539</v>
      </c>
      <c r="D348">
        <v>539</v>
      </c>
      <c r="E348">
        <v>539</v>
      </c>
      <c r="F348">
        <v>539</v>
      </c>
      <c r="G348">
        <v>539</v>
      </c>
      <c r="H348">
        <v>539</v>
      </c>
      <c r="I348">
        <v>539</v>
      </c>
      <c r="J348">
        <v>539</v>
      </c>
      <c r="K348">
        <v>539</v>
      </c>
      <c r="L348">
        <v>539</v>
      </c>
      <c r="M348">
        <v>539</v>
      </c>
      <c r="N348">
        <v>539</v>
      </c>
      <c r="O348">
        <v>539</v>
      </c>
      <c r="P348">
        <v>539</v>
      </c>
    </row>
    <row r="349" spans="1:16">
      <c r="A349" t="s">
        <v>368</v>
      </c>
      <c r="B349" s="2" t="s">
        <v>355</v>
      </c>
    </row>
    <row r="350" spans="1:16">
      <c r="A350" s="2" t="s">
        <v>369</v>
      </c>
      <c r="B350" s="2" t="s">
        <v>355</v>
      </c>
      <c r="H350">
        <v>154</v>
      </c>
      <c r="I350">
        <v>154</v>
      </c>
      <c r="J350">
        <v>154</v>
      </c>
      <c r="K350">
        <v>154</v>
      </c>
      <c r="L350">
        <v>154</v>
      </c>
      <c r="M350">
        <v>161</v>
      </c>
      <c r="N350">
        <v>168</v>
      </c>
      <c r="O350">
        <v>168</v>
      </c>
      <c r="P350">
        <v>168</v>
      </c>
    </row>
    <row r="351" spans="1:16">
      <c r="A351" s="2" t="s">
        <v>370</v>
      </c>
      <c r="B351" s="2" t="s">
        <v>355</v>
      </c>
      <c r="L351">
        <v>438</v>
      </c>
      <c r="M351">
        <v>438</v>
      </c>
      <c r="N351">
        <v>438</v>
      </c>
      <c r="O351">
        <v>438</v>
      </c>
      <c r="P351">
        <v>438</v>
      </c>
    </row>
    <row r="352" spans="1:16">
      <c r="A352" s="2" t="s">
        <v>371</v>
      </c>
      <c r="B352" s="2" t="s">
        <v>355</v>
      </c>
      <c r="C352">
        <v>9</v>
      </c>
      <c r="D352">
        <v>9</v>
      </c>
      <c r="E352">
        <v>9</v>
      </c>
      <c r="F352">
        <v>9</v>
      </c>
      <c r="G352">
        <v>9</v>
      </c>
      <c r="H352">
        <v>9</v>
      </c>
      <c r="I352">
        <v>9</v>
      </c>
      <c r="J352">
        <v>9</v>
      </c>
      <c r="K352">
        <v>9</v>
      </c>
      <c r="L352">
        <v>9</v>
      </c>
      <c r="M352">
        <v>9</v>
      </c>
      <c r="N352">
        <v>9</v>
      </c>
      <c r="O352">
        <v>9</v>
      </c>
      <c r="P352">
        <v>9</v>
      </c>
    </row>
    <row r="353" spans="1:16">
      <c r="A353" s="2" t="s">
        <v>372</v>
      </c>
      <c r="B353" s="2" t="s">
        <v>355</v>
      </c>
      <c r="C353">
        <v>740</v>
      </c>
      <c r="D353">
        <v>740</v>
      </c>
      <c r="E353">
        <v>740</v>
      </c>
      <c r="F353">
        <v>740</v>
      </c>
      <c r="G353">
        <v>740</v>
      </c>
      <c r="H353">
        <v>740</v>
      </c>
      <c r="I353">
        <v>740</v>
      </c>
      <c r="J353">
        <v>740</v>
      </c>
      <c r="K353">
        <v>740</v>
      </c>
      <c r="L353">
        <v>740</v>
      </c>
      <c r="M353">
        <v>740</v>
      </c>
      <c r="N353">
        <v>740</v>
      </c>
      <c r="O353">
        <v>740</v>
      </c>
      <c r="P353">
        <v>740</v>
      </c>
    </row>
    <row r="354" spans="1:16">
      <c r="A354" s="2" t="s">
        <v>373</v>
      </c>
      <c r="B354" s="2" t="s">
        <v>355</v>
      </c>
      <c r="C354">
        <v>512</v>
      </c>
      <c r="D354">
        <v>512</v>
      </c>
      <c r="E354">
        <v>512</v>
      </c>
      <c r="F354">
        <v>512</v>
      </c>
      <c r="G354">
        <v>512</v>
      </c>
      <c r="H354">
        <v>512</v>
      </c>
      <c r="I354">
        <v>512</v>
      </c>
      <c r="J354">
        <v>512</v>
      </c>
      <c r="K354">
        <v>512</v>
      </c>
      <c r="L354">
        <v>512</v>
      </c>
      <c r="M354">
        <v>512</v>
      </c>
      <c r="N354">
        <v>512</v>
      </c>
      <c r="O354">
        <v>512</v>
      </c>
      <c r="P354">
        <v>512</v>
      </c>
    </row>
    <row r="355" spans="1:16">
      <c r="A355" s="2" t="s">
        <v>374</v>
      </c>
      <c r="B355" s="2" t="s">
        <v>355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>
      <c r="A356" s="2" t="s">
        <v>375</v>
      </c>
      <c r="B356" s="2" t="s">
        <v>355</v>
      </c>
      <c r="C356">
        <v>35</v>
      </c>
      <c r="D356">
        <v>35</v>
      </c>
      <c r="E356">
        <v>35</v>
      </c>
      <c r="F356">
        <v>35</v>
      </c>
      <c r="G356">
        <v>35</v>
      </c>
      <c r="H356">
        <v>35</v>
      </c>
      <c r="I356">
        <v>35</v>
      </c>
      <c r="J356">
        <v>35</v>
      </c>
      <c r="K356">
        <v>35</v>
      </c>
      <c r="L356">
        <v>35</v>
      </c>
      <c r="M356">
        <v>35</v>
      </c>
      <c r="N356">
        <v>35</v>
      </c>
      <c r="O356">
        <v>35</v>
      </c>
      <c r="P356">
        <v>35</v>
      </c>
    </row>
    <row r="357" spans="1:16">
      <c r="A357" s="2" t="s">
        <v>376</v>
      </c>
      <c r="B357" s="2" t="s">
        <v>355</v>
      </c>
      <c r="C357">
        <v>24</v>
      </c>
      <c r="D357">
        <v>24</v>
      </c>
      <c r="E357">
        <v>24</v>
      </c>
      <c r="F357">
        <v>24</v>
      </c>
      <c r="G357">
        <v>24</v>
      </c>
      <c r="H357">
        <v>24</v>
      </c>
      <c r="I357">
        <v>24</v>
      </c>
      <c r="J357">
        <v>24</v>
      </c>
      <c r="K357">
        <v>24</v>
      </c>
      <c r="L357">
        <v>24</v>
      </c>
      <c r="M357">
        <v>24</v>
      </c>
      <c r="N357">
        <v>24</v>
      </c>
      <c r="O357">
        <v>24</v>
      </c>
      <c r="P357">
        <v>24</v>
      </c>
    </row>
    <row r="358" spans="1:16">
      <c r="A358" s="2" t="s">
        <v>377</v>
      </c>
      <c r="B358" s="2" t="s">
        <v>355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 s="2" t="s">
        <v>378</v>
      </c>
      <c r="B359" s="2" t="s">
        <v>355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>
      <c r="A360" s="2" t="s">
        <v>379</v>
      </c>
      <c r="B360" s="2" t="s">
        <v>355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>
      <c r="A361" s="2" t="s">
        <v>380</v>
      </c>
      <c r="B361" s="2" t="s">
        <v>355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 s="2" t="s">
        <v>381</v>
      </c>
      <c r="B362" s="2" t="s">
        <v>355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>
      <c r="A363" s="2" t="s">
        <v>382</v>
      </c>
      <c r="B363" s="2" t="s">
        <v>355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>
      <c r="A364" s="2" t="s">
        <v>383</v>
      </c>
      <c r="B364" s="2" t="s">
        <v>355</v>
      </c>
      <c r="C364">
        <v>6</v>
      </c>
      <c r="D364">
        <v>6</v>
      </c>
      <c r="E364">
        <v>6</v>
      </c>
      <c r="F364">
        <v>6</v>
      </c>
      <c r="G364">
        <v>6</v>
      </c>
      <c r="H364">
        <v>6</v>
      </c>
      <c r="I364">
        <v>6</v>
      </c>
      <c r="J364">
        <v>6</v>
      </c>
      <c r="K364">
        <v>6</v>
      </c>
      <c r="L364">
        <v>6</v>
      </c>
      <c r="M364">
        <v>6</v>
      </c>
      <c r="N364">
        <v>6</v>
      </c>
      <c r="O364">
        <v>6</v>
      </c>
      <c r="P364">
        <v>6</v>
      </c>
    </row>
    <row r="365" spans="1:16">
      <c r="A365" t="s">
        <v>384</v>
      </c>
      <c r="B365" s="2" t="s">
        <v>275</v>
      </c>
      <c r="C365">
        <v>3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  <c r="O365">
        <v>3</v>
      </c>
      <c r="P365">
        <v>0</v>
      </c>
    </row>
    <row r="366" spans="1:16">
      <c r="A366" t="s">
        <v>385</v>
      </c>
      <c r="B366" s="2" t="s">
        <v>24</v>
      </c>
      <c r="I366">
        <v>8</v>
      </c>
      <c r="J366">
        <v>8</v>
      </c>
      <c r="K366">
        <v>8</v>
      </c>
      <c r="L366">
        <v>8</v>
      </c>
      <c r="M366">
        <v>8</v>
      </c>
      <c r="N366">
        <v>8</v>
      </c>
      <c r="O366">
        <v>8</v>
      </c>
      <c r="P366">
        <v>8</v>
      </c>
    </row>
    <row r="367" spans="1:16">
      <c r="A367" t="s">
        <v>386</v>
      </c>
      <c r="B367" s="2" t="s">
        <v>24</v>
      </c>
      <c r="C367">
        <v>8</v>
      </c>
      <c r="D367">
        <v>8</v>
      </c>
      <c r="E367">
        <v>8</v>
      </c>
      <c r="F367">
        <v>8</v>
      </c>
      <c r="G367">
        <v>8</v>
      </c>
      <c r="H367">
        <v>8</v>
      </c>
    </row>
    <row r="368" spans="1:16">
      <c r="A368" s="2" t="s">
        <v>387</v>
      </c>
      <c r="B368" s="2" t="s">
        <v>275</v>
      </c>
      <c r="C368">
        <v>14</v>
      </c>
      <c r="D368">
        <v>14</v>
      </c>
      <c r="E368">
        <v>14</v>
      </c>
      <c r="F368">
        <v>14</v>
      </c>
      <c r="G368">
        <v>14</v>
      </c>
      <c r="H368">
        <v>14</v>
      </c>
      <c r="I368">
        <v>14</v>
      </c>
      <c r="J368">
        <v>14</v>
      </c>
      <c r="K368">
        <v>14</v>
      </c>
      <c r="L368">
        <v>14</v>
      </c>
      <c r="M368">
        <v>14</v>
      </c>
      <c r="N368">
        <v>14</v>
      </c>
      <c r="O368">
        <v>14</v>
      </c>
      <c r="P368">
        <v>14</v>
      </c>
    </row>
    <row r="369" spans="1:16">
      <c r="A369" s="2" t="s">
        <v>388</v>
      </c>
      <c r="B369" s="2" t="s">
        <v>275</v>
      </c>
      <c r="C369">
        <v>6</v>
      </c>
      <c r="D369">
        <v>6</v>
      </c>
      <c r="E369">
        <v>6</v>
      </c>
      <c r="F369">
        <v>6</v>
      </c>
      <c r="G369">
        <v>6</v>
      </c>
      <c r="H369">
        <v>6</v>
      </c>
      <c r="I369">
        <v>6</v>
      </c>
      <c r="J369">
        <v>6</v>
      </c>
      <c r="K369">
        <v>6</v>
      </c>
      <c r="L369">
        <v>6</v>
      </c>
      <c r="M369">
        <v>6</v>
      </c>
      <c r="N369">
        <v>6</v>
      </c>
      <c r="O369">
        <v>6</v>
      </c>
      <c r="P369">
        <v>6</v>
      </c>
    </row>
    <row r="370" spans="1:16">
      <c r="A370" t="s">
        <v>389</v>
      </c>
      <c r="B370" s="2" t="s">
        <v>275</v>
      </c>
      <c r="C370">
        <v>4</v>
      </c>
      <c r="D370">
        <v>4</v>
      </c>
      <c r="E370">
        <v>4</v>
      </c>
      <c r="F370">
        <v>4</v>
      </c>
      <c r="G370">
        <v>4</v>
      </c>
      <c r="H370">
        <v>4</v>
      </c>
      <c r="I370">
        <v>4</v>
      </c>
      <c r="J370">
        <v>4</v>
      </c>
      <c r="K370">
        <v>4</v>
      </c>
      <c r="L370">
        <v>4</v>
      </c>
      <c r="M370">
        <v>4</v>
      </c>
      <c r="N370">
        <v>4</v>
      </c>
      <c r="O370">
        <v>4</v>
      </c>
      <c r="P370">
        <v>4</v>
      </c>
    </row>
    <row r="371" spans="1:16">
      <c r="A371" s="2" t="s">
        <v>390</v>
      </c>
      <c r="B371" s="2" t="s">
        <v>275</v>
      </c>
      <c r="C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</row>
    <row r="372" spans="1:16">
      <c r="A372" s="2" t="s">
        <v>391</v>
      </c>
      <c r="B372" s="2" t="s">
        <v>275</v>
      </c>
      <c r="D372">
        <v>2</v>
      </c>
    </row>
    <row r="373" spans="1:16">
      <c r="A373" s="2" t="s">
        <v>392</v>
      </c>
      <c r="B373" s="2" t="s">
        <v>275</v>
      </c>
      <c r="E373">
        <v>2</v>
      </c>
    </row>
    <row r="374" spans="1:16">
      <c r="A374" s="2" t="s">
        <v>393</v>
      </c>
      <c r="B374" s="2" t="s">
        <v>275</v>
      </c>
      <c r="C374">
        <v>11</v>
      </c>
      <c r="D374">
        <v>11</v>
      </c>
      <c r="E374">
        <v>11</v>
      </c>
      <c r="F374">
        <v>11</v>
      </c>
      <c r="G374">
        <v>11</v>
      </c>
      <c r="H374">
        <v>11</v>
      </c>
      <c r="I374">
        <v>11</v>
      </c>
      <c r="J374">
        <v>11</v>
      </c>
      <c r="K374">
        <v>11</v>
      </c>
      <c r="L374">
        <v>11</v>
      </c>
      <c r="M374">
        <v>11</v>
      </c>
      <c r="N374">
        <v>11</v>
      </c>
      <c r="O374">
        <v>11</v>
      </c>
      <c r="P374">
        <v>11</v>
      </c>
    </row>
    <row r="375" spans="1:16">
      <c r="A375" s="2" t="s">
        <v>394</v>
      </c>
      <c r="B375" s="2" t="s">
        <v>355</v>
      </c>
      <c r="C375">
        <v>12</v>
      </c>
      <c r="D375">
        <v>12</v>
      </c>
      <c r="E375">
        <v>12</v>
      </c>
      <c r="F375">
        <v>12</v>
      </c>
      <c r="G375">
        <v>12</v>
      </c>
      <c r="H375">
        <v>12</v>
      </c>
      <c r="I375">
        <v>12</v>
      </c>
      <c r="J375">
        <v>12</v>
      </c>
      <c r="K375">
        <v>12</v>
      </c>
      <c r="L375">
        <v>12</v>
      </c>
      <c r="M375">
        <v>12</v>
      </c>
      <c r="N375">
        <v>12</v>
      </c>
      <c r="O375">
        <v>12</v>
      </c>
      <c r="P375">
        <v>12</v>
      </c>
    </row>
    <row r="376" spans="1:16">
      <c r="A376" t="s">
        <v>395</v>
      </c>
      <c r="B376" s="2" t="s">
        <v>24</v>
      </c>
      <c r="C376">
        <v>38</v>
      </c>
      <c r="D376">
        <v>38</v>
      </c>
      <c r="E376">
        <v>38</v>
      </c>
      <c r="F376">
        <v>38</v>
      </c>
      <c r="G376">
        <v>38</v>
      </c>
      <c r="H376">
        <v>38</v>
      </c>
    </row>
    <row r="377" spans="1:16">
      <c r="A377" t="s">
        <v>396</v>
      </c>
      <c r="B377" s="2" t="s">
        <v>24</v>
      </c>
      <c r="I377">
        <v>38</v>
      </c>
      <c r="J377">
        <v>38</v>
      </c>
      <c r="K377">
        <v>38</v>
      </c>
      <c r="L377">
        <v>38</v>
      </c>
      <c r="M377">
        <v>38</v>
      </c>
      <c r="N377">
        <v>38</v>
      </c>
      <c r="O377">
        <v>38</v>
      </c>
      <c r="P377">
        <v>38</v>
      </c>
    </row>
    <row r="378" spans="1:16">
      <c r="A378" t="s">
        <v>397</v>
      </c>
      <c r="B378" s="2" t="s">
        <v>24</v>
      </c>
      <c r="C378">
        <v>5</v>
      </c>
      <c r="D378">
        <v>5</v>
      </c>
      <c r="E378">
        <v>5</v>
      </c>
      <c r="F378">
        <v>5</v>
      </c>
      <c r="G378">
        <v>5</v>
      </c>
      <c r="H378">
        <v>5</v>
      </c>
    </row>
    <row r="379" spans="1:16">
      <c r="A379" t="s">
        <v>398</v>
      </c>
      <c r="B379" s="2" t="s">
        <v>24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</row>
    <row r="380" spans="1:16">
      <c r="A380" t="s">
        <v>399</v>
      </c>
      <c r="B380" s="2" t="s">
        <v>24</v>
      </c>
      <c r="C380">
        <v>5</v>
      </c>
      <c r="D380">
        <v>5</v>
      </c>
      <c r="E380">
        <v>5</v>
      </c>
    </row>
    <row r="381" spans="1:16">
      <c r="A381" t="s">
        <v>400</v>
      </c>
      <c r="B381" s="2" t="s">
        <v>24</v>
      </c>
      <c r="C381">
        <v>8</v>
      </c>
      <c r="D381">
        <v>8</v>
      </c>
      <c r="E381">
        <v>8</v>
      </c>
    </row>
  </sheetData>
  <autoFilter ref="A1:P379" xr:uid="{5FA6FC53-F38A-4C64-9742-23725BD73E68}"/>
  <phoneticPr fontId="4" type="noConversion"/>
  <conditionalFormatting sqref="A294:A348 A1:A292 A382:A1048576 A350:A380">
    <cfRule type="duplicateValues" dxfId="22" priority="15"/>
    <cfRule type="duplicateValues" dxfId="21" priority="16"/>
  </conditionalFormatting>
  <conditionalFormatting sqref="A365">
    <cfRule type="duplicateValues" dxfId="20" priority="17"/>
    <cfRule type="duplicateValues" dxfId="19" priority="18"/>
    <cfRule type="duplicateValues" dxfId="18" priority="19"/>
    <cfRule type="duplicateValues" dxfId="17" priority="20"/>
    <cfRule type="duplicateValues" dxfId="16" priority="21"/>
  </conditionalFormatting>
  <conditionalFormatting sqref="A381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  <cfRule type="duplicateValues" dxfId="3" priority="13"/>
    <cfRule type="duplicateValues" dxfId="2" priority="14"/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75F0-85B8-49C6-9814-9312B9D3B435}">
  <dimension ref="A1:S45"/>
  <sheetViews>
    <sheetView tabSelected="1" workbookViewId="0">
      <selection activeCell="A30" sqref="A30"/>
    </sheetView>
  </sheetViews>
  <sheetFormatPr defaultRowHeight="12.75"/>
  <cols>
    <col min="1" max="1" width="21.85546875" bestFit="1" customWidth="1"/>
  </cols>
  <sheetData>
    <row r="1" spans="1:19">
      <c r="A1" s="3" t="s">
        <v>401</v>
      </c>
    </row>
    <row r="4" spans="1:19">
      <c r="B4" s="4">
        <v>2012</v>
      </c>
      <c r="C4" s="4">
        <v>2013</v>
      </c>
      <c r="D4" s="4">
        <v>2014</v>
      </c>
      <c r="E4" s="4">
        <v>2015</v>
      </c>
      <c r="F4" s="4">
        <v>2016</v>
      </c>
      <c r="G4" s="4">
        <v>2017</v>
      </c>
      <c r="H4" s="4">
        <v>2018</v>
      </c>
      <c r="I4" s="4">
        <v>2019</v>
      </c>
      <c r="J4" s="4">
        <v>2020</v>
      </c>
      <c r="K4" s="4">
        <v>2021</v>
      </c>
      <c r="L4" s="4">
        <v>2022</v>
      </c>
      <c r="M4" s="4">
        <v>2023</v>
      </c>
      <c r="N4" s="4">
        <v>2024</v>
      </c>
      <c r="O4" s="4">
        <v>2025</v>
      </c>
      <c r="S4" t="s">
        <v>402</v>
      </c>
    </row>
    <row r="5" spans="1:19">
      <c r="A5" t="s">
        <v>403</v>
      </c>
      <c r="B5" s="5">
        <f>SUM('TAU details'!C:C)</f>
        <v>11180</v>
      </c>
      <c r="C5" s="5">
        <f>SUM('TAU details'!D:D)</f>
        <v>11175</v>
      </c>
      <c r="D5" s="5">
        <f>SUM('TAU details'!E:E)</f>
        <v>11175</v>
      </c>
      <c r="E5" s="5">
        <f>SUM('TAU details'!F:F)</f>
        <v>11153</v>
      </c>
      <c r="F5" s="5">
        <f>SUM('TAU details'!G:G)</f>
        <v>11108</v>
      </c>
      <c r="G5" s="5">
        <f>SUM('TAU details'!H:H)</f>
        <v>11139</v>
      </c>
      <c r="H5" s="5">
        <f>SUM('TAU details'!I:I)</f>
        <v>11156</v>
      </c>
      <c r="I5" s="5">
        <f>SUM('TAU details'!J:J)</f>
        <v>11150</v>
      </c>
      <c r="J5" s="5">
        <f>SUM('TAU details'!K:K)</f>
        <v>11150</v>
      </c>
      <c r="K5" s="5">
        <f>SUM('TAU details'!L:L)</f>
        <v>11094</v>
      </c>
      <c r="L5" s="5">
        <f>SUM('TAU details'!M:M)</f>
        <v>11107</v>
      </c>
      <c r="M5" s="5">
        <f>SUM('TAU details'!N:N)</f>
        <v>11114</v>
      </c>
      <c r="N5" s="5">
        <f>SUM('TAU details'!O:O)</f>
        <v>10969</v>
      </c>
      <c r="O5" s="5">
        <f>SUM('TAU details'!P:P)</f>
        <v>10761</v>
      </c>
      <c r="Q5" s="5"/>
      <c r="S5" s="5">
        <f>O5-B5</f>
        <v>-419</v>
      </c>
    </row>
    <row r="6" spans="1:19">
      <c r="A6" t="s">
        <v>404</v>
      </c>
      <c r="B6" s="6" t="s">
        <v>405</v>
      </c>
      <c r="C6" s="5">
        <f>C5-B5</f>
        <v>-5</v>
      </c>
      <c r="D6" s="5">
        <f>D5-C5</f>
        <v>0</v>
      </c>
      <c r="E6" s="5">
        <f t="shared" ref="E6:O6" si="0">E5-D5</f>
        <v>-22</v>
      </c>
      <c r="F6" s="5">
        <f t="shared" si="0"/>
        <v>-45</v>
      </c>
      <c r="G6" s="5">
        <f t="shared" si="0"/>
        <v>31</v>
      </c>
      <c r="H6" s="5">
        <f t="shared" si="0"/>
        <v>17</v>
      </c>
      <c r="I6" s="5">
        <f t="shared" si="0"/>
        <v>-6</v>
      </c>
      <c r="J6" s="5">
        <f t="shared" si="0"/>
        <v>0</v>
      </c>
      <c r="K6" s="5">
        <f t="shared" si="0"/>
        <v>-56</v>
      </c>
      <c r="L6" s="5">
        <f t="shared" si="0"/>
        <v>13</v>
      </c>
      <c r="M6" s="5">
        <f t="shared" si="0"/>
        <v>7</v>
      </c>
      <c r="N6" s="5">
        <f t="shared" si="0"/>
        <v>-145</v>
      </c>
      <c r="O6" s="5">
        <f t="shared" si="0"/>
        <v>-208</v>
      </c>
      <c r="S6" s="7">
        <f>S5/B5</f>
        <v>-3.7477638640429335E-2</v>
      </c>
    </row>
    <row r="7" spans="1:19">
      <c r="B7" s="8"/>
      <c r="C7" s="7">
        <f>C5/B5-1</f>
        <v>-4.472271914132131E-4</v>
      </c>
      <c r="D7" s="7">
        <f t="shared" ref="D7:O7" si="1">D5/C5-1</f>
        <v>0</v>
      </c>
      <c r="E7" s="7">
        <f t="shared" si="1"/>
        <v>-1.968680089485475E-3</v>
      </c>
      <c r="F7" s="7">
        <f t="shared" si="1"/>
        <v>-4.0347888460503523E-3</v>
      </c>
      <c r="G7" s="7">
        <f t="shared" si="1"/>
        <v>2.7907814187972946E-3</v>
      </c>
      <c r="H7" s="7">
        <f t="shared" si="1"/>
        <v>1.5261693150192546E-3</v>
      </c>
      <c r="I7" s="7">
        <f t="shared" si="1"/>
        <v>-5.3782717820005654E-4</v>
      </c>
      <c r="J7" s="7">
        <f t="shared" si="1"/>
        <v>0</v>
      </c>
      <c r="K7" s="7">
        <f t="shared" si="1"/>
        <v>-5.0224215246637005E-3</v>
      </c>
      <c r="L7" s="7">
        <f t="shared" si="1"/>
        <v>1.1718045790516385E-3</v>
      </c>
      <c r="M7" s="7">
        <f t="shared" si="1"/>
        <v>6.3023318627886127E-4</v>
      </c>
      <c r="N7" s="7">
        <f t="shared" si="1"/>
        <v>-1.3046607881950667E-2</v>
      </c>
      <c r="O7" s="7">
        <f t="shared" si="1"/>
        <v>-1.8962530768529495E-2</v>
      </c>
    </row>
    <row r="8" spans="1:19">
      <c r="B8" s="8"/>
      <c r="E8" s="5"/>
    </row>
    <row r="9" spans="1:19">
      <c r="B9" s="8"/>
    </row>
    <row r="10" spans="1:19">
      <c r="A10" t="s">
        <v>406</v>
      </c>
      <c r="B10" s="6" t="s">
        <v>405</v>
      </c>
      <c r="C10" s="9">
        <f>C13+C21</f>
        <v>-5</v>
      </c>
      <c r="D10" s="9">
        <f t="shared" ref="D10:O10" si="2">D13+D21</f>
        <v>0</v>
      </c>
      <c r="E10" s="9">
        <f t="shared" si="2"/>
        <v>-22</v>
      </c>
      <c r="F10" s="9">
        <f t="shared" si="2"/>
        <v>-45</v>
      </c>
      <c r="G10" s="9">
        <f t="shared" si="2"/>
        <v>31</v>
      </c>
      <c r="H10" s="9">
        <f t="shared" si="2"/>
        <v>17</v>
      </c>
      <c r="I10" s="9">
        <f t="shared" si="2"/>
        <v>-6</v>
      </c>
      <c r="J10" s="9">
        <f t="shared" si="2"/>
        <v>0</v>
      </c>
      <c r="K10" s="9">
        <f t="shared" si="2"/>
        <v>-56</v>
      </c>
      <c r="L10" s="9">
        <f t="shared" si="2"/>
        <v>13</v>
      </c>
      <c r="M10" s="9">
        <f t="shared" si="2"/>
        <v>7</v>
      </c>
      <c r="N10" s="9">
        <f t="shared" si="2"/>
        <v>-145</v>
      </c>
      <c r="O10" s="9">
        <f t="shared" si="2"/>
        <v>-208</v>
      </c>
      <c r="S10" s="5">
        <f>SUM(C10:O10)</f>
        <v>-419</v>
      </c>
    </row>
    <row r="11" spans="1:19">
      <c r="B11" s="8"/>
      <c r="C11" t="b">
        <f>C10=C6</f>
        <v>1</v>
      </c>
      <c r="D11" t="b">
        <f t="shared" ref="D11:O11" si="3">D10=D6</f>
        <v>1</v>
      </c>
      <c r="E11" t="b">
        <f t="shared" si="3"/>
        <v>1</v>
      </c>
      <c r="F11" t="b">
        <f t="shared" si="3"/>
        <v>1</v>
      </c>
      <c r="G11" t="b">
        <f>G10=G6</f>
        <v>1</v>
      </c>
      <c r="H11" t="b">
        <f t="shared" si="3"/>
        <v>1</v>
      </c>
      <c r="I11" t="b">
        <f t="shared" si="3"/>
        <v>1</v>
      </c>
      <c r="J11" t="b">
        <f t="shared" si="3"/>
        <v>1</v>
      </c>
      <c r="K11" t="b">
        <f t="shared" si="3"/>
        <v>1</v>
      </c>
      <c r="L11" t="b">
        <f t="shared" si="3"/>
        <v>1</v>
      </c>
      <c r="M11" t="b">
        <f t="shared" si="3"/>
        <v>1</v>
      </c>
      <c r="N11" t="b">
        <f t="shared" si="3"/>
        <v>1</v>
      </c>
      <c r="O11" t="b">
        <f t="shared" si="3"/>
        <v>1</v>
      </c>
    </row>
    <row r="12" spans="1:19">
      <c r="B12" s="8"/>
    </row>
    <row r="13" spans="1:19">
      <c r="A13" s="3" t="s">
        <v>407</v>
      </c>
      <c r="B13" s="10" t="s">
        <v>405</v>
      </c>
      <c r="C13" s="9">
        <f t="shared" ref="C13:O13" si="4">SUM(C14:C17)</f>
        <v>0</v>
      </c>
      <c r="D13" s="9">
        <f t="shared" si="4"/>
        <v>0</v>
      </c>
      <c r="E13" s="9">
        <f t="shared" si="4"/>
        <v>0</v>
      </c>
      <c r="F13" s="9">
        <f t="shared" si="4"/>
        <v>0</v>
      </c>
      <c r="G13" s="9">
        <f t="shared" si="4"/>
        <v>154</v>
      </c>
      <c r="H13" s="9">
        <f t="shared" si="4"/>
        <v>32</v>
      </c>
      <c r="I13" s="9">
        <f t="shared" si="4"/>
        <v>5</v>
      </c>
      <c r="J13" s="9">
        <f t="shared" si="4"/>
        <v>0</v>
      </c>
      <c r="K13" s="9">
        <f t="shared" si="4"/>
        <v>0</v>
      </c>
      <c r="L13" s="9">
        <f>SUM(L14:L17)</f>
        <v>13</v>
      </c>
      <c r="M13" s="9">
        <f t="shared" si="4"/>
        <v>7</v>
      </c>
      <c r="N13" s="9">
        <f t="shared" si="4"/>
        <v>0</v>
      </c>
      <c r="O13" s="9">
        <f t="shared" si="4"/>
        <v>0</v>
      </c>
      <c r="S13" s="9">
        <f t="shared" ref="S13:S17" si="5">SUM(C13:O13)</f>
        <v>211</v>
      </c>
    </row>
    <row r="14" spans="1:19">
      <c r="A14" t="s">
        <v>408</v>
      </c>
      <c r="B14" s="6" t="s">
        <v>405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S14" s="5">
        <f t="shared" si="5"/>
        <v>0</v>
      </c>
    </row>
    <row r="15" spans="1:19">
      <c r="A15" t="s">
        <v>409</v>
      </c>
      <c r="B15" s="6" t="s">
        <v>405</v>
      </c>
      <c r="C15" s="5">
        <v>0</v>
      </c>
      <c r="D15" s="5">
        <v>0</v>
      </c>
      <c r="E15" s="5">
        <v>0</v>
      </c>
      <c r="F15" s="5">
        <v>0</v>
      </c>
      <c r="G15" s="5">
        <v>154</v>
      </c>
      <c r="H15" s="5">
        <v>32</v>
      </c>
      <c r="I15" s="5">
        <v>0</v>
      </c>
      <c r="J15" s="5">
        <v>0</v>
      </c>
      <c r="K15" s="5">
        <v>0</v>
      </c>
      <c r="L15" s="5">
        <v>12</v>
      </c>
      <c r="M15" s="5">
        <v>7</v>
      </c>
      <c r="N15" s="5">
        <v>0</v>
      </c>
      <c r="O15" s="5">
        <v>0</v>
      </c>
      <c r="Q15" s="5"/>
      <c r="S15" s="5">
        <f t="shared" si="5"/>
        <v>205</v>
      </c>
    </row>
    <row r="16" spans="1:19">
      <c r="A16" t="s">
        <v>410</v>
      </c>
      <c r="B16" s="6" t="s">
        <v>405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  <c r="O16" s="5">
        <v>0</v>
      </c>
      <c r="Q16" s="5"/>
      <c r="S16" s="5">
        <f t="shared" si="5"/>
        <v>1</v>
      </c>
    </row>
    <row r="17" spans="1:19">
      <c r="A17" t="s">
        <v>411</v>
      </c>
      <c r="B17" s="6" t="s">
        <v>405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5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Q17" s="5"/>
      <c r="S17" s="5">
        <f t="shared" si="5"/>
        <v>5</v>
      </c>
    </row>
    <row r="18" spans="1:19">
      <c r="B18" s="8"/>
    </row>
    <row r="19" spans="1:19">
      <c r="B19" s="8"/>
    </row>
    <row r="20" spans="1:19">
      <c r="B20" s="8"/>
    </row>
    <row r="21" spans="1:19">
      <c r="A21" s="3" t="s">
        <v>412</v>
      </c>
      <c r="B21" s="10" t="s">
        <v>405</v>
      </c>
      <c r="C21" s="9">
        <f t="shared" ref="C21:O21" si="6">SUM(C22:C23)</f>
        <v>-5</v>
      </c>
      <c r="D21" s="9">
        <f t="shared" si="6"/>
        <v>0</v>
      </c>
      <c r="E21" s="9">
        <f t="shared" si="6"/>
        <v>-22</v>
      </c>
      <c r="F21" s="9">
        <f t="shared" si="6"/>
        <v>-45</v>
      </c>
      <c r="G21" s="9">
        <f t="shared" si="6"/>
        <v>-123</v>
      </c>
      <c r="H21" s="9">
        <f t="shared" si="6"/>
        <v>-15</v>
      </c>
      <c r="I21" s="9">
        <f t="shared" si="6"/>
        <v>-11</v>
      </c>
      <c r="J21" s="9">
        <f t="shared" si="6"/>
        <v>0</v>
      </c>
      <c r="K21" s="9">
        <f t="shared" si="6"/>
        <v>-56</v>
      </c>
      <c r="L21" s="9">
        <f t="shared" si="6"/>
        <v>0</v>
      </c>
      <c r="M21" s="9">
        <f t="shared" si="6"/>
        <v>0</v>
      </c>
      <c r="N21" s="9">
        <f t="shared" si="6"/>
        <v>-145</v>
      </c>
      <c r="O21" s="9">
        <f t="shared" si="6"/>
        <v>-208</v>
      </c>
      <c r="S21" s="9">
        <f t="shared" ref="S21:S23" si="7">SUM(C21:O21)</f>
        <v>-630</v>
      </c>
    </row>
    <row r="22" spans="1:19">
      <c r="A22" t="s">
        <v>413</v>
      </c>
      <c r="B22" s="6" t="s">
        <v>405</v>
      </c>
      <c r="C22" s="5">
        <v>-5</v>
      </c>
      <c r="D22" s="5">
        <v>0</v>
      </c>
      <c r="E22" s="5">
        <v>-22</v>
      </c>
      <c r="F22" s="5">
        <v>-33</v>
      </c>
      <c r="G22" s="5">
        <v>-123</v>
      </c>
      <c r="H22" s="5">
        <v>-15</v>
      </c>
      <c r="I22" s="5">
        <v>-11</v>
      </c>
      <c r="J22" s="5">
        <v>0</v>
      </c>
      <c r="K22" s="5">
        <v>-23</v>
      </c>
      <c r="L22" s="5">
        <v>0</v>
      </c>
      <c r="M22" s="5">
        <v>0</v>
      </c>
      <c r="N22" s="5">
        <v>-124</v>
      </c>
      <c r="O22" s="5">
        <f>-67-141</f>
        <v>-208</v>
      </c>
      <c r="S22" s="5">
        <f t="shared" si="7"/>
        <v>-564</v>
      </c>
    </row>
    <row r="23" spans="1:19">
      <c r="A23" t="s">
        <v>414</v>
      </c>
      <c r="B23" s="6" t="s">
        <v>405</v>
      </c>
      <c r="C23" s="5">
        <v>0</v>
      </c>
      <c r="D23" s="5">
        <v>0</v>
      </c>
      <c r="E23" s="5">
        <v>0</v>
      </c>
      <c r="F23" s="5">
        <v>-12</v>
      </c>
      <c r="G23" s="5">
        <v>0</v>
      </c>
      <c r="H23" s="5">
        <v>0</v>
      </c>
      <c r="I23" s="5">
        <v>0</v>
      </c>
      <c r="J23" s="5">
        <v>0</v>
      </c>
      <c r="K23" s="5">
        <v>-33</v>
      </c>
      <c r="L23" s="5">
        <v>0</v>
      </c>
      <c r="M23" s="5">
        <v>0</v>
      </c>
      <c r="N23" s="5">
        <v>-21</v>
      </c>
      <c r="O23" s="5">
        <v>0</v>
      </c>
      <c r="S23" s="5">
        <f t="shared" si="7"/>
        <v>-66</v>
      </c>
    </row>
    <row r="27" spans="1:19">
      <c r="A27" t="s">
        <v>415</v>
      </c>
      <c r="G27" t="s">
        <v>416</v>
      </c>
      <c r="H27" t="s">
        <v>417</v>
      </c>
      <c r="I27" t="s">
        <v>418</v>
      </c>
      <c r="L27" t="s">
        <v>419</v>
      </c>
      <c r="M27" t="s">
        <v>419</v>
      </c>
    </row>
    <row r="28" spans="1:19">
      <c r="F28" t="s">
        <v>420</v>
      </c>
      <c r="L28" t="s">
        <v>421</v>
      </c>
      <c r="O28" t="s">
        <v>422</v>
      </c>
    </row>
    <row r="29" spans="1:19">
      <c r="E29" t="s">
        <v>423</v>
      </c>
      <c r="G29" s="5" t="s">
        <v>424</v>
      </c>
      <c r="H29" t="s">
        <v>425</v>
      </c>
      <c r="N29" s="5" t="s">
        <v>426</v>
      </c>
      <c r="O29" t="s">
        <v>427</v>
      </c>
      <c r="R29" t="s">
        <v>428</v>
      </c>
    </row>
    <row r="30" spans="1:19">
      <c r="F30" t="s">
        <v>429</v>
      </c>
      <c r="G30" t="s">
        <v>430</v>
      </c>
      <c r="K30" t="s">
        <v>431</v>
      </c>
    </row>
    <row r="34" spans="1:16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6" spans="1:16">
      <c r="A36" s="4" t="s">
        <v>1</v>
      </c>
      <c r="B36" s="4">
        <v>2012</v>
      </c>
      <c r="C36" s="4">
        <v>2013</v>
      </c>
      <c r="D36" s="4">
        <v>2014</v>
      </c>
      <c r="E36" s="4">
        <v>2015</v>
      </c>
      <c r="F36" s="4">
        <v>2016</v>
      </c>
      <c r="G36" s="4">
        <v>2017</v>
      </c>
      <c r="H36" s="4">
        <v>2018</v>
      </c>
      <c r="I36" s="4">
        <v>2019</v>
      </c>
      <c r="J36" s="4">
        <v>2020</v>
      </c>
      <c r="K36" s="4">
        <v>2021</v>
      </c>
      <c r="L36" s="4">
        <v>2022</v>
      </c>
      <c r="M36" s="4">
        <v>2023</v>
      </c>
      <c r="N36" s="4">
        <v>2024</v>
      </c>
      <c r="O36" s="4">
        <v>2025</v>
      </c>
    </row>
    <row r="37" spans="1:16">
      <c r="A37" s="2" t="s">
        <v>432</v>
      </c>
      <c r="B37" s="5">
        <v>6088</v>
      </c>
      <c r="C37" s="5">
        <v>6088</v>
      </c>
      <c r="D37" s="5">
        <v>6088</v>
      </c>
      <c r="E37" s="5">
        <v>6066</v>
      </c>
      <c r="F37" s="5">
        <v>6066</v>
      </c>
      <c r="G37" s="5">
        <v>5943</v>
      </c>
      <c r="H37" s="5">
        <v>5975</v>
      </c>
      <c r="I37" s="5">
        <v>5980</v>
      </c>
      <c r="J37" s="5">
        <v>5980</v>
      </c>
      <c r="K37" s="5">
        <v>5953</v>
      </c>
      <c r="L37" s="5">
        <v>5959</v>
      </c>
      <c r="M37" s="5">
        <v>5959</v>
      </c>
      <c r="N37" s="5">
        <v>5938</v>
      </c>
      <c r="O37" s="5">
        <v>5733</v>
      </c>
      <c r="P37" s="2"/>
    </row>
    <row r="38" spans="1:16">
      <c r="A38" s="2" t="s">
        <v>433</v>
      </c>
      <c r="B38" s="5">
        <v>2650</v>
      </c>
      <c r="C38" s="5">
        <v>2650</v>
      </c>
      <c r="D38" s="5">
        <v>2650</v>
      </c>
      <c r="E38" s="5">
        <v>2650</v>
      </c>
      <c r="F38" s="5">
        <v>2650</v>
      </c>
      <c r="G38" s="5">
        <v>2804</v>
      </c>
      <c r="H38" s="5">
        <v>2804</v>
      </c>
      <c r="I38" s="5">
        <v>2804</v>
      </c>
      <c r="J38" s="5">
        <v>2804</v>
      </c>
      <c r="K38" s="5">
        <v>2804</v>
      </c>
      <c r="L38" s="5">
        <v>2811</v>
      </c>
      <c r="M38" s="5">
        <v>2818</v>
      </c>
      <c r="N38" s="5">
        <v>2694</v>
      </c>
      <c r="O38" s="5">
        <v>2694</v>
      </c>
      <c r="P38" s="2"/>
    </row>
    <row r="39" spans="1:16">
      <c r="A39" s="2" t="s">
        <v>434</v>
      </c>
      <c r="B39" s="5">
        <v>112</v>
      </c>
      <c r="C39" s="5">
        <v>112</v>
      </c>
      <c r="D39" s="5">
        <v>112</v>
      </c>
      <c r="E39" s="5">
        <v>112</v>
      </c>
      <c r="F39" s="5">
        <v>112</v>
      </c>
      <c r="G39" s="5">
        <v>112</v>
      </c>
      <c r="H39" s="5">
        <v>112</v>
      </c>
      <c r="I39" s="5">
        <v>112</v>
      </c>
      <c r="J39" s="5">
        <v>112</v>
      </c>
      <c r="K39" s="5">
        <v>112</v>
      </c>
      <c r="L39" s="5">
        <v>112</v>
      </c>
      <c r="M39" s="5">
        <v>112</v>
      </c>
      <c r="N39" s="5">
        <v>112</v>
      </c>
      <c r="O39" s="5">
        <v>112</v>
      </c>
      <c r="P39" s="2"/>
    </row>
    <row r="40" spans="1:16">
      <c r="A40" s="2" t="s">
        <v>435</v>
      </c>
      <c r="B40" s="5">
        <v>1295</v>
      </c>
      <c r="C40" s="5">
        <v>1290</v>
      </c>
      <c r="D40" s="5">
        <v>1290</v>
      </c>
      <c r="E40" s="5">
        <v>1290</v>
      </c>
      <c r="F40" s="5">
        <v>1263</v>
      </c>
      <c r="G40" s="5">
        <v>1263</v>
      </c>
      <c r="H40" s="5">
        <v>1263</v>
      </c>
      <c r="I40" s="5">
        <v>1252</v>
      </c>
      <c r="J40" s="5">
        <v>1252</v>
      </c>
      <c r="K40" s="5">
        <v>1223</v>
      </c>
      <c r="L40" s="5">
        <v>1223</v>
      </c>
      <c r="M40" s="5">
        <v>1223</v>
      </c>
      <c r="N40" s="5">
        <v>1223</v>
      </c>
      <c r="O40" s="5">
        <v>1220</v>
      </c>
      <c r="P40" s="2"/>
    </row>
    <row r="41" spans="1:16">
      <c r="A41" s="2" t="s">
        <v>436</v>
      </c>
      <c r="B41" s="5">
        <v>1035</v>
      </c>
      <c r="C41" s="5">
        <v>1035</v>
      </c>
      <c r="D41" s="5">
        <v>1035</v>
      </c>
      <c r="E41" s="5">
        <v>1035</v>
      </c>
      <c r="F41" s="5">
        <v>1017</v>
      </c>
      <c r="G41" s="5">
        <v>1017</v>
      </c>
      <c r="H41" s="5">
        <v>1002</v>
      </c>
      <c r="I41" s="5">
        <v>1002</v>
      </c>
      <c r="J41" s="5">
        <v>1002</v>
      </c>
      <c r="K41" s="5">
        <v>1002</v>
      </c>
      <c r="L41" s="5">
        <v>1002</v>
      </c>
      <c r="M41" s="5">
        <v>1002</v>
      </c>
      <c r="N41" s="5">
        <v>1002</v>
      </c>
      <c r="O41" s="5">
        <v>1002</v>
      </c>
      <c r="P41" s="2"/>
    </row>
    <row r="42" spans="1:16" s="3" customFormat="1">
      <c r="A42" s="9" t="s">
        <v>437</v>
      </c>
      <c r="B42" s="9">
        <v>11180</v>
      </c>
      <c r="C42" s="9">
        <v>11175</v>
      </c>
      <c r="D42" s="9">
        <v>11175</v>
      </c>
      <c r="E42" s="9">
        <v>11153</v>
      </c>
      <c r="F42" s="9">
        <v>11108</v>
      </c>
      <c r="G42" s="9">
        <v>11139</v>
      </c>
      <c r="H42" s="9">
        <v>11156</v>
      </c>
      <c r="I42" s="9">
        <v>11150</v>
      </c>
      <c r="J42" s="9">
        <v>11150</v>
      </c>
      <c r="K42" s="9">
        <v>11094</v>
      </c>
      <c r="L42" s="9">
        <v>11107</v>
      </c>
      <c r="M42" s="9">
        <v>11114</v>
      </c>
      <c r="N42" s="9">
        <v>10969</v>
      </c>
      <c r="O42" s="9">
        <v>10761</v>
      </c>
    </row>
    <row r="45" spans="1:16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</sheetData>
  <conditionalFormatting sqref="C11:O11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Kasman</dc:creator>
  <cp:keywords/>
  <dc:description/>
  <cp:lastModifiedBy/>
  <cp:revision/>
  <dcterms:created xsi:type="dcterms:W3CDTF">2026-03-19T23:39:58Z</dcterms:created>
  <dcterms:modified xsi:type="dcterms:W3CDTF">2026-05-01T05:34:18Z</dcterms:modified>
  <cp:category/>
  <cp:contentStatus/>
</cp:coreProperties>
</file>