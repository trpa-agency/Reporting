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tahoeregionalplanning-my.sharepoint.com/personal/kkasman_trpa_org/Documents/"/>
    </mc:Choice>
  </mc:AlternateContent>
  <xr:revisionPtr revIDLastSave="0" documentId="8_{E5F728EE-F9FB-47FB-8F0D-290CB0870A8F}" xr6:coauthVersionLast="47" xr6:coauthVersionMax="47" xr10:uidLastSave="{00000000-0000-0000-0000-000000000000}"/>
  <bookViews>
    <workbookView xWindow="-120" yWindow="-120" windowWidth="29040" windowHeight="15720" xr2:uid="{E8F0A27A-7307-490E-8DAB-50979EA08CB2}"/>
  </bookViews>
  <sheets>
    <sheet name="Residential Allocations" sheetId="1" r:id="rId1"/>
    <sheet name="Residential Bonus Units" sheetId="2" r:id="rId2"/>
    <sheet name="Commercial Floor Area" sheetId="3" r:id="rId3"/>
    <sheet name="Tourist Accommodation Uni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9" i="1" l="1"/>
  <c r="L10" i="1"/>
  <c r="L11" i="1"/>
  <c r="L12" i="1"/>
  <c r="L13" i="1"/>
  <c r="L8" i="1"/>
  <c r="M9" i="1"/>
  <c r="M10" i="1"/>
  <c r="M11" i="1"/>
  <c r="M12" i="1"/>
  <c r="M13" i="1"/>
  <c r="M8" i="1"/>
  <c r="M15" i="1" s="1"/>
  <c r="M6" i="1"/>
  <c r="L14" i="1"/>
  <c r="L6" i="1"/>
  <c r="I9" i="1"/>
  <c r="I10" i="1"/>
  <c r="I11" i="1"/>
  <c r="I12" i="1"/>
  <c r="I13" i="1"/>
  <c r="I8" i="1"/>
  <c r="I6" i="1"/>
  <c r="H9" i="1"/>
  <c r="H10" i="1"/>
  <c r="H11" i="1"/>
  <c r="H12" i="1"/>
  <c r="H13" i="1"/>
  <c r="H15" i="1" s="1"/>
  <c r="H8" i="1"/>
  <c r="H6" i="1"/>
  <c r="C6" i="1"/>
  <c r="K14" i="1"/>
  <c r="K9" i="1"/>
  <c r="K10" i="1"/>
  <c r="K11" i="1"/>
  <c r="K12" i="1"/>
  <c r="K13" i="1"/>
  <c r="K8" i="1"/>
  <c r="G8" i="1"/>
  <c r="G9" i="1"/>
  <c r="G10" i="1"/>
  <c r="G11" i="1"/>
  <c r="G12" i="1"/>
  <c r="G13" i="1"/>
  <c r="B8" i="1"/>
  <c r="K6" i="1"/>
  <c r="G6" i="1"/>
  <c r="B6" i="1"/>
  <c r="I15" i="1"/>
  <c r="H40" i="4"/>
  <c r="G40" i="4"/>
  <c r="D7" i="4" s="1"/>
  <c r="C40" i="4"/>
  <c r="E38" i="4"/>
  <c r="E35" i="4"/>
  <c r="E14" i="4" s="1"/>
  <c r="E34" i="4"/>
  <c r="C13" i="4" s="1"/>
  <c r="E33" i="4"/>
  <c r="E12" i="4" s="1"/>
  <c r="E32" i="4"/>
  <c r="E11" i="4" s="1"/>
  <c r="E31" i="4"/>
  <c r="E10" i="4" s="1"/>
  <c r="D17" i="4"/>
  <c r="D14" i="4"/>
  <c r="D13" i="4"/>
  <c r="D12" i="4"/>
  <c r="D11" i="4"/>
  <c r="D10" i="4"/>
  <c r="D21" i="3"/>
  <c r="G44" i="3"/>
  <c r="D7" i="3" s="1"/>
  <c r="D44" i="3"/>
  <c r="E34" i="3"/>
  <c r="H34" i="3" s="1"/>
  <c r="E11" i="3" s="1"/>
  <c r="E35" i="3"/>
  <c r="H35" i="3" s="1"/>
  <c r="E12" i="3" s="1"/>
  <c r="E36" i="3"/>
  <c r="H36" i="3" s="1"/>
  <c r="E13" i="3" s="1"/>
  <c r="E37" i="3"/>
  <c r="C14" i="3" s="1"/>
  <c r="E42" i="3"/>
  <c r="E33" i="3"/>
  <c r="C10" i="3" s="1"/>
  <c r="C40" i="3"/>
  <c r="E40" i="3" s="1"/>
  <c r="C44" i="3"/>
  <c r="D17" i="3"/>
  <c r="D14" i="3"/>
  <c r="D13" i="3"/>
  <c r="D12" i="3"/>
  <c r="D11" i="3"/>
  <c r="C11" i="3"/>
  <c r="D10" i="3"/>
  <c r="L15" i="1" l="1"/>
  <c r="K15" i="1"/>
  <c r="G15" i="1"/>
  <c r="D19" i="4"/>
  <c r="C10" i="4"/>
  <c r="E40" i="4"/>
  <c r="C7" i="4" s="1"/>
  <c r="C14" i="4"/>
  <c r="E17" i="4"/>
  <c r="C17" i="4"/>
  <c r="C11" i="4"/>
  <c r="C12" i="4"/>
  <c r="E13" i="4"/>
  <c r="H37" i="3"/>
  <c r="E14" i="3" s="1"/>
  <c r="C12" i="3"/>
  <c r="C21" i="3" s="1"/>
  <c r="H40" i="3"/>
  <c r="E17" i="3" s="1"/>
  <c r="C17" i="3"/>
  <c r="E44" i="3"/>
  <c r="C7" i="3" s="1"/>
  <c r="H33" i="3"/>
  <c r="E10" i="3" s="1"/>
  <c r="C13" i="3"/>
  <c r="C19" i="4" l="1"/>
  <c r="E19" i="4"/>
  <c r="E7" i="4"/>
  <c r="E21" i="3"/>
  <c r="H44" i="3"/>
  <c r="E7" i="3" s="1"/>
  <c r="D10" i="2" l="1"/>
  <c r="D11" i="2"/>
  <c r="D12" i="2"/>
  <c r="D13" i="2"/>
  <c r="D16" i="2"/>
  <c r="D9" i="2"/>
  <c r="D17" i="2" s="1"/>
  <c r="C37" i="2"/>
  <c r="G37" i="2"/>
  <c r="D6" i="2" s="1"/>
  <c r="E29" i="2" l="1"/>
  <c r="E30" i="2"/>
  <c r="E31" i="2"/>
  <c r="E32" i="2"/>
  <c r="E33" i="2"/>
  <c r="E36" i="2"/>
  <c r="D37" i="2"/>
  <c r="E37" i="2" s="1"/>
  <c r="H36" i="2" l="1"/>
  <c r="E16" i="2" s="1"/>
  <c r="C16" i="2"/>
  <c r="H33" i="2"/>
  <c r="E13" i="2" s="1"/>
  <c r="C13" i="2"/>
  <c r="H32" i="2"/>
  <c r="E12" i="2" s="1"/>
  <c r="C12" i="2"/>
  <c r="H31" i="2"/>
  <c r="E11" i="2" s="1"/>
  <c r="C11" i="2"/>
  <c r="H30" i="2"/>
  <c r="E10" i="2" s="1"/>
  <c r="C10" i="2"/>
  <c r="H29" i="2"/>
  <c r="E9" i="2" s="1"/>
  <c r="E17" i="2" s="1"/>
  <c r="C9" i="2"/>
  <c r="C17" i="2" s="1"/>
  <c r="C6" i="2"/>
  <c r="H37" i="2"/>
  <c r="E6" i="2" s="1"/>
  <c r="B47" i="1" l="1"/>
  <c r="C47" i="1" s="1"/>
  <c r="D47" i="1" s="1"/>
  <c r="E47" i="1" s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AT42" i="1"/>
  <c r="AS42" i="1"/>
  <c r="AR42" i="1"/>
  <c r="C13" i="1" s="1"/>
  <c r="AT41" i="1"/>
  <c r="AS41" i="1"/>
  <c r="AR41" i="1"/>
  <c r="C12" i="1" s="1"/>
  <c r="AT40" i="1"/>
  <c r="AS40" i="1"/>
  <c r="AR40" i="1"/>
  <c r="C11" i="1" s="1"/>
  <c r="AT39" i="1"/>
  <c r="AS39" i="1"/>
  <c r="AR39" i="1"/>
  <c r="C10" i="1" s="1"/>
  <c r="AT38" i="1"/>
  <c r="AS38" i="1"/>
  <c r="AR38" i="1"/>
  <c r="C9" i="1" s="1"/>
  <c r="AT37" i="1"/>
  <c r="AS37" i="1"/>
  <c r="AR37" i="1"/>
  <c r="C8" i="1" s="1"/>
  <c r="AR20" i="1"/>
  <c r="B9" i="1" s="1"/>
  <c r="AS20" i="1"/>
  <c r="AT20" i="1"/>
  <c r="AR21" i="1"/>
  <c r="B10" i="1" s="1"/>
  <c r="AS21" i="1"/>
  <c r="AT21" i="1"/>
  <c r="AR22" i="1"/>
  <c r="B11" i="1" s="1"/>
  <c r="AS22" i="1"/>
  <c r="AT22" i="1"/>
  <c r="AR23" i="1"/>
  <c r="B12" i="1" s="1"/>
  <c r="AS23" i="1"/>
  <c r="AT23" i="1"/>
  <c r="AT24" i="1"/>
  <c r="AS25" i="1"/>
  <c r="AT19" i="1"/>
  <c r="AS19" i="1"/>
  <c r="AR19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C43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C25" i="1"/>
  <c r="AP28" i="1"/>
  <c r="AP29" i="1"/>
  <c r="AP30" i="1"/>
  <c r="AP31" i="1"/>
  <c r="AP32" i="1"/>
  <c r="AP33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B29" i="1"/>
  <c r="B30" i="1"/>
  <c r="B31" i="1"/>
  <c r="B28" i="1"/>
  <c r="L34" i="1"/>
  <c r="M34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B43" i="1"/>
  <c r="O24" i="1"/>
  <c r="P24" i="1"/>
  <c r="P33" i="1" s="1"/>
  <c r="Q24" i="1"/>
  <c r="Q33" i="1" s="1"/>
  <c r="R24" i="1"/>
  <c r="R33" i="1" s="1"/>
  <c r="S24" i="1"/>
  <c r="S33" i="1" s="1"/>
  <c r="T24" i="1"/>
  <c r="T33" i="1" s="1"/>
  <c r="U24" i="1"/>
  <c r="U33" i="1" s="1"/>
  <c r="V24" i="1"/>
  <c r="V33" i="1" s="1"/>
  <c r="W24" i="1"/>
  <c r="W33" i="1" s="1"/>
  <c r="X24" i="1"/>
  <c r="X33" i="1" s="1"/>
  <c r="Y24" i="1"/>
  <c r="Y33" i="1" s="1"/>
  <c r="Z24" i="1"/>
  <c r="Z33" i="1" s="1"/>
  <c r="AA24" i="1"/>
  <c r="AA33" i="1" s="1"/>
  <c r="AC48" i="1" l="1"/>
  <c r="AD48" i="1" s="1"/>
  <c r="AE48" i="1" s="1"/>
  <c r="AR25" i="1"/>
  <c r="C34" i="1"/>
  <c r="AF48" i="1"/>
  <c r="AG48" i="1" s="1"/>
  <c r="AH48" i="1" s="1"/>
  <c r="AI48" i="1" s="1"/>
  <c r="AJ48" i="1" s="1"/>
  <c r="AK48" i="1" s="1"/>
  <c r="AL48" i="1" s="1"/>
  <c r="AM48" i="1" s="1"/>
  <c r="AN48" i="1" s="1"/>
  <c r="AO48" i="1" s="1"/>
  <c r="AP48" i="1" s="1"/>
  <c r="Z34" i="1"/>
  <c r="AT30" i="1"/>
  <c r="AR24" i="1"/>
  <c r="B13" i="1" s="1"/>
  <c r="AT33" i="1"/>
  <c r="AT25" i="1"/>
  <c r="AS43" i="1"/>
  <c r="H34" i="1"/>
  <c r="AT32" i="1"/>
  <c r="AT31" i="1"/>
  <c r="AT28" i="1"/>
  <c r="O33" i="1"/>
  <c r="AR33" i="1" s="1"/>
  <c r="D13" i="1" s="1"/>
  <c r="AS31" i="1"/>
  <c r="AS28" i="1"/>
  <c r="AS32" i="1"/>
  <c r="AR31" i="1"/>
  <c r="D11" i="1" s="1"/>
  <c r="G34" i="1"/>
  <c r="AT43" i="1"/>
  <c r="AT29" i="1"/>
  <c r="AS30" i="1"/>
  <c r="AS29" i="1"/>
  <c r="AR29" i="1"/>
  <c r="D9" i="1" s="1"/>
  <c r="E34" i="1"/>
  <c r="AR30" i="1"/>
  <c r="D10" i="1" s="1"/>
  <c r="AR43" i="1"/>
  <c r="W34" i="1"/>
  <c r="AR32" i="1"/>
  <c r="D12" i="1" s="1"/>
  <c r="J34" i="1"/>
  <c r="AR28" i="1"/>
  <c r="D8" i="1" s="1"/>
  <c r="D15" i="1" s="1"/>
  <c r="AS24" i="1"/>
  <c r="AE34" i="1"/>
  <c r="AM34" i="1"/>
  <c r="AL34" i="1"/>
  <c r="AD34" i="1"/>
  <c r="AB34" i="1"/>
  <c r="AN34" i="1"/>
  <c r="AK34" i="1"/>
  <c r="AJ34" i="1"/>
  <c r="AO34" i="1"/>
  <c r="AC34" i="1"/>
  <c r="AG34" i="1"/>
  <c r="AI34" i="1"/>
  <c r="AH34" i="1"/>
  <c r="AF34" i="1"/>
  <c r="AP34" i="1"/>
  <c r="S34" i="1"/>
  <c r="V34" i="1"/>
  <c r="U34" i="1"/>
  <c r="Y34" i="1"/>
  <c r="K34" i="1"/>
  <c r="X34" i="1"/>
  <c r="P34" i="1"/>
  <c r="R34" i="1"/>
  <c r="F34" i="1"/>
  <c r="I34" i="1"/>
  <c r="T34" i="1"/>
  <c r="Q34" i="1"/>
  <c r="N34" i="1"/>
  <c r="D34" i="1"/>
  <c r="AA34" i="1"/>
  <c r="B34" i="1"/>
  <c r="C14" i="1" l="1"/>
  <c r="C15" i="1" s="1"/>
  <c r="B14" i="1"/>
  <c r="B15" i="1" s="1"/>
  <c r="AS33" i="1"/>
  <c r="O34" i="1"/>
  <c r="AR34" i="1" s="1"/>
  <c r="D6" i="1" s="1"/>
  <c r="AT34" i="1"/>
  <c r="AS34" i="1" l="1"/>
</calcChain>
</file>

<file path=xl/sharedStrings.xml><?xml version="1.0" encoding="utf-8"?>
<sst xmlns="http://schemas.openxmlformats.org/spreadsheetml/2006/main" count="169" uniqueCount="56">
  <si>
    <t>Residential Allocations Summary</t>
  </si>
  <si>
    <t>As of May 12, 2026</t>
  </si>
  <si>
    <t>1987 Plan</t>
  </si>
  <si>
    <t>2012 Plan</t>
  </si>
  <si>
    <t>Regional Plan Maximum</t>
  </si>
  <si>
    <t>Not Assigned</t>
  </si>
  <si>
    <t>Assigned to Projects</t>
  </si>
  <si>
    <t>Residential Allocations</t>
  </si>
  <si>
    <t>Placer County</t>
  </si>
  <si>
    <t>Washoe County</t>
  </si>
  <si>
    <t>Douglas County</t>
  </si>
  <si>
    <t>El Dorado County</t>
  </si>
  <si>
    <t>City of South Lake Tahoe</t>
  </si>
  <si>
    <t>TRPA Allocation Incentive Pool1</t>
  </si>
  <si>
    <t>Unreleased Allocations</t>
  </si>
  <si>
    <t>Grand Total</t>
  </si>
  <si>
    <t>AllocationsByYear</t>
  </si>
  <si>
    <t>1986-2011 Total</t>
  </si>
  <si>
    <t>2012-2026 Total</t>
  </si>
  <si>
    <t>Assigned</t>
  </si>
  <si>
    <t>RemainingNotAssigned</t>
  </si>
  <si>
    <t>UnReleasedAllocationsByYear</t>
  </si>
  <si>
    <t>Unreleased Allocations - 1987 Plan</t>
  </si>
  <si>
    <t>Unreleased Allocations - 2012 Plan</t>
  </si>
  <si>
    <t>1) TRPA Allocation Incentive Pool is for Sensitive Lot Retirement through Allocation Assignments</t>
  </si>
  <si>
    <t>Note: The City of South Lake Tahoe was separated out from El Dorado starting in 1997; TRPA Sensitive Lot Retirement Program started in 1999.</t>
  </si>
  <si>
    <t>Sources: 1987 Allocations from 2012 Regional Plan Update Analysis, File: 'Allocation_Tracking 3 14 2013.xls'. 2012 Allocations and Assigned/Not Assigned from Lake Tahoe Info Parcel Tracker, Residential Allocation Tracking and Development Right Pool Report, May 2026</t>
  </si>
  <si>
    <t xml:space="preserve">https://parcels.laketahoeinfo.org/DevelopmentRightPool/DevelopmentRightPoolBalanceReport </t>
  </si>
  <si>
    <t xml:space="preserve">https://parcels.laketahoeinfo.org/ResidentialAllocation/Manage </t>
  </si>
  <si>
    <t>Residential Bonus Unit Summary</t>
  </si>
  <si>
    <t>Residential Bonus Units</t>
  </si>
  <si>
    <t>Assigned to Community Plan/Area Plans</t>
  </si>
  <si>
    <t>Assigned to TRPA Bonus Unit Pools1</t>
  </si>
  <si>
    <t>TRPA Bonus Unit Pools</t>
  </si>
  <si>
    <t xml:space="preserve">1. Residential bonus units may be approved from the TRPA Bonus Unit pools for affordable, moderate, and achievable-income single and multi-family housing projects (TRPA Code 52.3.1), transfer incentives (TRPA Code 51.5.1.C.3; 51.5.3.C.4), and excess coverage retirement programs (TRPA Code 30.6.3.B). </t>
  </si>
  <si>
    <t xml:space="preserve">Source: https://parcels.laketahoeinfo.org/DevelopmentRightPool/DevelopmentRightPoolBalanceReport </t>
  </si>
  <si>
    <t>2012 Plan*</t>
  </si>
  <si>
    <t>Total</t>
  </si>
  <si>
    <t>Assigned to TRPA Bonus Unit Pools</t>
  </si>
  <si>
    <t>TRPA Bonus Unit Pools*</t>
  </si>
  <si>
    <t>* Per TRPA Code 50.4.1, the 600 Residential Bonus Units added to the TRPA Pool in the 2012 Regional Plan shall be used only in Centers.</t>
  </si>
  <si>
    <t>Commercial Floor Area Summary</t>
  </si>
  <si>
    <t>Regional Plan Maximum*</t>
  </si>
  <si>
    <t>Commercial Floor Area</t>
  </si>
  <si>
    <t>Assigned to TRPA Special Projects/Community Enhancement Pool</t>
  </si>
  <si>
    <t>TRPA Special Projects Pool</t>
  </si>
  <si>
    <t>Unreleased CFA from 2012 Plan</t>
  </si>
  <si>
    <t>n/a</t>
  </si>
  <si>
    <t>* Per TRPA Code 50.4.1, the 200,000 sf of CFA from the 2012 Regional Plan shall only be made available after the 383,579 sf of remaining CFA is exhausted.</t>
  </si>
  <si>
    <t>Unreleased CFA from 2012 Plan*</t>
  </si>
  <si>
    <t>Tourist Accommodation Units Summary</t>
  </si>
  <si>
    <t>Tourist Accommodation Units</t>
  </si>
  <si>
    <t>Assigned to TRPA Tourist Bonus Unit Pool</t>
  </si>
  <si>
    <t>TRPA Tourist Bonus Unit Pool</t>
  </si>
  <si>
    <t>Unassigned to CPs</t>
  </si>
  <si>
    <t xml:space="preserve">* The 2012 Regional Plan did not add any additional Tourist Accommodation Units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</si>
</sst>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1"/>
      <color theme="1"/>
      <name val="Calibri"/>
      <family val="2"/>
    </font>
    <font>
      <u/>
      <sz val="10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0" fontId="4" fillId="0" borderId="0" xfId="1"/>
    <xf numFmtId="3" fontId="0" fillId="0" borderId="1" xfId="0" applyNumberFormat="1" applyBorder="1"/>
    <xf numFmtId="3" fontId="0" fillId="0" borderId="0" xfId="0" applyNumberFormat="1"/>
    <xf numFmtId="3" fontId="0" fillId="0" borderId="1" xfId="0" applyNumberForma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arcels.laketahoeinfo.org/ResidentialAllocation/Manage" TargetMode="External"/><Relationship Id="rId1" Type="http://schemas.openxmlformats.org/officeDocument/2006/relationships/hyperlink" Target="https://parcels.laketahoeinfo.org/DevelopmentRightPool/DevelopmentRightPoolBalanceRepor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parcels.laketahoeinfo.org/DevelopmentRightPool/DevelopmentRightPoolBalanceReport" TargetMode="External"/><Relationship Id="rId1" Type="http://schemas.openxmlformats.org/officeDocument/2006/relationships/hyperlink" Target="https://parcels.laketahoeinfo.org/DevelopmentRightPool/DevelopmentRightPoolBalanceRepor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parcels.laketahoeinfo.org/DevelopmentRightPool/DevelopmentRightPoolBalanceReport" TargetMode="External"/><Relationship Id="rId1" Type="http://schemas.openxmlformats.org/officeDocument/2006/relationships/hyperlink" Target="https://parcels.laketahoeinfo.org/DevelopmentRightPool/DevelopmentRightPoolBalanceReport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parcels.laketahoeinfo.org/DevelopmentRightPool/DevelopmentRightPoolBalanceReport" TargetMode="External"/><Relationship Id="rId1" Type="http://schemas.openxmlformats.org/officeDocument/2006/relationships/hyperlink" Target="https://parcels.laketahoeinfo.org/DevelopmentRightPool/DevelopmentRightPoolBalanceR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9CC2-CFD6-4274-A666-A02384440671}">
  <dimension ref="A1:AT55"/>
  <sheetViews>
    <sheetView tabSelected="1" workbookViewId="0">
      <selection activeCell="B59" sqref="B59"/>
    </sheetView>
  </sheetViews>
  <sheetFormatPr defaultRowHeight="12.75"/>
  <cols>
    <col min="1" max="1" width="27.85546875" customWidth="1"/>
    <col min="2" max="2" width="26.7109375" bestFit="1" customWidth="1"/>
    <col min="3" max="3" width="14.42578125" bestFit="1" customWidth="1"/>
    <col min="4" max="4" width="21.42578125" bestFit="1" customWidth="1"/>
    <col min="5" max="5" width="9.140625" customWidth="1"/>
    <col min="6" max="7" width="15.85546875" bestFit="1" customWidth="1"/>
    <col min="8" max="16" width="9.140625" customWidth="1"/>
  </cols>
  <sheetData>
    <row r="1" spans="1:13" ht="15">
      <c r="A1" s="6" t="s">
        <v>0</v>
      </c>
      <c r="B1" s="2"/>
      <c r="C1" s="2"/>
      <c r="D1" s="2"/>
    </row>
    <row r="2" spans="1:13">
      <c r="A2" t="s">
        <v>1</v>
      </c>
      <c r="B2" s="2"/>
      <c r="C2" s="2"/>
      <c r="D2" s="2"/>
    </row>
    <row r="3" spans="1:13">
      <c r="A3" s="2"/>
      <c r="B3" s="2"/>
      <c r="C3" s="2"/>
      <c r="D3" s="2"/>
    </row>
    <row r="4" spans="1:13">
      <c r="A4" s="2"/>
      <c r="B4" s="2"/>
      <c r="C4" s="2"/>
      <c r="D4" s="2"/>
      <c r="G4" t="s">
        <v>2</v>
      </c>
      <c r="K4" t="s">
        <v>3</v>
      </c>
    </row>
    <row r="5" spans="1:13">
      <c r="A5" s="3"/>
      <c r="B5" s="4" t="s">
        <v>4</v>
      </c>
      <c r="C5" s="4" t="s">
        <v>5</v>
      </c>
      <c r="D5" s="4" t="s">
        <v>6</v>
      </c>
      <c r="G5" s="4" t="s">
        <v>4</v>
      </c>
      <c r="H5" s="4" t="s">
        <v>5</v>
      </c>
      <c r="I5" s="4" t="s">
        <v>6</v>
      </c>
      <c r="K5" s="4" t="s">
        <v>4</v>
      </c>
      <c r="L5" s="4" t="s">
        <v>5</v>
      </c>
      <c r="M5" s="4" t="s">
        <v>6</v>
      </c>
    </row>
    <row r="6" spans="1:13">
      <c r="A6" s="5" t="s">
        <v>7</v>
      </c>
      <c r="B6" s="8">
        <f>SUM(AR25+AP48)</f>
        <v>8687</v>
      </c>
      <c r="C6" s="8">
        <f>AR43+AP48</f>
        <v>1785</v>
      </c>
      <c r="D6" s="8">
        <f>AR34</f>
        <v>6902</v>
      </c>
      <c r="G6" s="8">
        <f>SUM(AS25)</f>
        <v>6087</v>
      </c>
      <c r="H6" s="8">
        <f>AS43</f>
        <v>17</v>
      </c>
      <c r="I6" s="8">
        <f>AS34</f>
        <v>6070</v>
      </c>
      <c r="K6" s="8">
        <f>SUM(AT25+AP48)</f>
        <v>2600</v>
      </c>
      <c r="L6" s="8">
        <f>AT43+AP48</f>
        <v>1768</v>
      </c>
      <c r="M6" s="8">
        <f>AT34</f>
        <v>832</v>
      </c>
    </row>
    <row r="7" spans="1:13">
      <c r="A7" s="5"/>
      <c r="B7" s="8"/>
      <c r="C7" s="8"/>
      <c r="D7" s="8"/>
      <c r="G7" s="8"/>
      <c r="H7" s="8"/>
      <c r="I7" s="8"/>
      <c r="K7" s="8"/>
      <c r="L7" s="8"/>
      <c r="M7" s="8"/>
    </row>
    <row r="8" spans="1:13">
      <c r="A8" s="5" t="s">
        <v>8</v>
      </c>
      <c r="B8" s="8">
        <f>AR19</f>
        <v>2037</v>
      </c>
      <c r="C8" s="8">
        <f>AR37</f>
        <v>349</v>
      </c>
      <c r="D8" s="8">
        <f t="shared" ref="D8:D13" si="0">AR28</f>
        <v>1688</v>
      </c>
      <c r="G8" s="8">
        <f>AS19</f>
        <v>1549</v>
      </c>
      <c r="H8" s="8">
        <f>AS37</f>
        <v>0</v>
      </c>
      <c r="I8" s="8">
        <f>AS28</f>
        <v>1549</v>
      </c>
      <c r="K8" s="8">
        <f>AT19</f>
        <v>488</v>
      </c>
      <c r="L8" s="8">
        <f>AT37</f>
        <v>349</v>
      </c>
      <c r="M8" s="8">
        <f>AT28</f>
        <v>139</v>
      </c>
    </row>
    <row r="9" spans="1:13">
      <c r="A9" s="5" t="s">
        <v>9</v>
      </c>
      <c r="B9" s="8">
        <f t="shared" ref="B9:B13" si="1">AR20</f>
        <v>1141</v>
      </c>
      <c r="C9" s="8">
        <f t="shared" ref="C9:C13" si="2">AR38</f>
        <v>135</v>
      </c>
      <c r="D9" s="8">
        <f t="shared" si="0"/>
        <v>1006</v>
      </c>
      <c r="G9" s="8">
        <f t="shared" ref="G9:G13" si="3">AS20</f>
        <v>996</v>
      </c>
      <c r="H9" s="8">
        <f t="shared" ref="H9:H13" si="4">AS38</f>
        <v>12</v>
      </c>
      <c r="I9" s="8">
        <f t="shared" ref="I9:I13" si="5">AS29</f>
        <v>984</v>
      </c>
      <c r="K9" s="8">
        <f t="shared" ref="K9:K13" si="6">AT20</f>
        <v>145</v>
      </c>
      <c r="L9" s="8">
        <f t="shared" ref="L9:L13" si="7">AT38</f>
        <v>123</v>
      </c>
      <c r="M9" s="8">
        <f t="shared" ref="M9:M13" si="8">AT29</f>
        <v>22</v>
      </c>
    </row>
    <row r="10" spans="1:13">
      <c r="A10" s="5" t="s">
        <v>10</v>
      </c>
      <c r="B10" s="8">
        <f t="shared" si="1"/>
        <v>556</v>
      </c>
      <c r="C10" s="8">
        <f t="shared" si="2"/>
        <v>93</v>
      </c>
      <c r="D10" s="8">
        <f t="shared" si="0"/>
        <v>463</v>
      </c>
      <c r="G10" s="8">
        <f t="shared" si="3"/>
        <v>419</v>
      </c>
      <c r="H10" s="8">
        <f t="shared" si="4"/>
        <v>0</v>
      </c>
      <c r="I10" s="8">
        <f t="shared" si="5"/>
        <v>419</v>
      </c>
      <c r="K10" s="8">
        <f t="shared" si="6"/>
        <v>137</v>
      </c>
      <c r="L10" s="8">
        <f t="shared" si="7"/>
        <v>93</v>
      </c>
      <c r="M10" s="8">
        <f t="shared" si="8"/>
        <v>44</v>
      </c>
    </row>
    <row r="11" spans="1:13">
      <c r="A11" s="5" t="s">
        <v>11</v>
      </c>
      <c r="B11" s="8">
        <f t="shared" si="1"/>
        <v>2914</v>
      </c>
      <c r="C11" s="8">
        <f t="shared" si="2"/>
        <v>98</v>
      </c>
      <c r="D11" s="8">
        <f t="shared" si="0"/>
        <v>2816</v>
      </c>
      <c r="G11" s="8">
        <f t="shared" si="3"/>
        <v>2462</v>
      </c>
      <c r="H11" s="8">
        <f t="shared" si="4"/>
        <v>0</v>
      </c>
      <c r="I11" s="8">
        <f t="shared" si="5"/>
        <v>2462</v>
      </c>
      <c r="K11" s="8">
        <f t="shared" si="6"/>
        <v>452</v>
      </c>
      <c r="L11" s="8">
        <f t="shared" si="7"/>
        <v>98</v>
      </c>
      <c r="M11" s="8">
        <f t="shared" si="8"/>
        <v>354</v>
      </c>
    </row>
    <row r="12" spans="1:13">
      <c r="A12" s="5" t="s">
        <v>12</v>
      </c>
      <c r="B12" s="8">
        <f t="shared" si="1"/>
        <v>884</v>
      </c>
      <c r="C12" s="8">
        <f t="shared" si="2"/>
        <v>186</v>
      </c>
      <c r="D12" s="8">
        <f t="shared" si="0"/>
        <v>698</v>
      </c>
      <c r="G12" s="8">
        <f t="shared" si="3"/>
        <v>450</v>
      </c>
      <c r="H12" s="8">
        <f t="shared" si="4"/>
        <v>5</v>
      </c>
      <c r="I12" s="8">
        <f t="shared" si="5"/>
        <v>445</v>
      </c>
      <c r="K12" s="8">
        <f t="shared" si="6"/>
        <v>434</v>
      </c>
      <c r="L12" s="8">
        <f t="shared" si="7"/>
        <v>181</v>
      </c>
      <c r="M12" s="8">
        <f t="shared" si="8"/>
        <v>253</v>
      </c>
    </row>
    <row r="13" spans="1:13">
      <c r="A13" s="5" t="s">
        <v>13</v>
      </c>
      <c r="B13" s="8">
        <f t="shared" si="1"/>
        <v>385</v>
      </c>
      <c r="C13" s="8">
        <f t="shared" si="2"/>
        <v>154</v>
      </c>
      <c r="D13" s="8">
        <f t="shared" si="0"/>
        <v>231</v>
      </c>
      <c r="G13" s="8">
        <f t="shared" si="3"/>
        <v>211</v>
      </c>
      <c r="H13" s="8">
        <f t="shared" si="4"/>
        <v>0</v>
      </c>
      <c r="I13" s="8">
        <f t="shared" si="5"/>
        <v>211</v>
      </c>
      <c r="K13" s="8">
        <f t="shared" si="6"/>
        <v>174</v>
      </c>
      <c r="L13" s="8">
        <f t="shared" si="7"/>
        <v>154</v>
      </c>
      <c r="M13" s="8">
        <f t="shared" si="8"/>
        <v>20</v>
      </c>
    </row>
    <row r="14" spans="1:13">
      <c r="A14" s="5" t="s">
        <v>14</v>
      </c>
      <c r="B14" s="8">
        <f>AP48</f>
        <v>770</v>
      </c>
      <c r="C14" s="8">
        <f>AP48</f>
        <v>770</v>
      </c>
      <c r="D14" s="8">
        <v>0</v>
      </c>
      <c r="G14" s="8">
        <v>0</v>
      </c>
      <c r="H14" s="8">
        <v>0</v>
      </c>
      <c r="I14" s="8">
        <v>0</v>
      </c>
      <c r="K14" s="8">
        <f>AP48</f>
        <v>770</v>
      </c>
      <c r="L14" s="8">
        <f>AP48</f>
        <v>770</v>
      </c>
      <c r="M14" s="8">
        <v>0</v>
      </c>
    </row>
    <row r="15" spans="1:13">
      <c r="A15" s="3" t="s">
        <v>15</v>
      </c>
      <c r="B15" s="8">
        <f>SUM(B8:B14)</f>
        <v>8687</v>
      </c>
      <c r="C15" s="8">
        <f>SUM(C8:C14)</f>
        <v>1785</v>
      </c>
      <c r="D15" s="8">
        <f>SUM(D8:D14)</f>
        <v>6902</v>
      </c>
      <c r="G15" s="8">
        <f>SUM(G8:G14)</f>
        <v>6087</v>
      </c>
      <c r="H15" s="8">
        <f>SUM(H8:H14)</f>
        <v>17</v>
      </c>
      <c r="I15" s="8">
        <f>SUM(I8:I14)</f>
        <v>6070</v>
      </c>
      <c r="K15" s="8">
        <f>SUM(K8:K14)</f>
        <v>2600</v>
      </c>
      <c r="L15" s="8">
        <f>SUM(L8:L14)</f>
        <v>1768</v>
      </c>
      <c r="M15" s="8">
        <f>SUM(M8:M14)</f>
        <v>832</v>
      </c>
    </row>
    <row r="18" spans="1:46" s="2" customFormat="1">
      <c r="A18" s="1" t="s">
        <v>16</v>
      </c>
      <c r="B18" s="2">
        <v>1986</v>
      </c>
      <c r="C18" s="2">
        <v>1987</v>
      </c>
      <c r="D18" s="2">
        <v>1988</v>
      </c>
      <c r="E18" s="2">
        <v>1989</v>
      </c>
      <c r="F18" s="2">
        <v>1990</v>
      </c>
      <c r="G18" s="2">
        <v>1991</v>
      </c>
      <c r="H18" s="2">
        <v>1992</v>
      </c>
      <c r="I18" s="2">
        <v>1993</v>
      </c>
      <c r="J18" s="2">
        <v>1994</v>
      </c>
      <c r="K18" s="2">
        <v>1995</v>
      </c>
      <c r="L18" s="2">
        <v>1996</v>
      </c>
      <c r="M18" s="2">
        <v>1997</v>
      </c>
      <c r="N18" s="2">
        <v>1998</v>
      </c>
      <c r="O18" s="2">
        <v>1999</v>
      </c>
      <c r="P18" s="2">
        <v>2000</v>
      </c>
      <c r="Q18" s="2">
        <v>2001</v>
      </c>
      <c r="R18" s="2">
        <v>2002</v>
      </c>
      <c r="S18" s="2">
        <v>2003</v>
      </c>
      <c r="T18" s="2">
        <v>2004</v>
      </c>
      <c r="U18" s="2">
        <v>2005</v>
      </c>
      <c r="V18" s="2">
        <v>2006</v>
      </c>
      <c r="W18" s="2">
        <v>2007</v>
      </c>
      <c r="X18" s="2">
        <v>2008</v>
      </c>
      <c r="Y18" s="2">
        <v>2009</v>
      </c>
      <c r="Z18" s="2">
        <v>2010</v>
      </c>
      <c r="AA18" s="2">
        <v>2011</v>
      </c>
      <c r="AB18" s="2">
        <v>2012</v>
      </c>
      <c r="AC18" s="2">
        <v>2013</v>
      </c>
      <c r="AD18" s="2">
        <v>2014</v>
      </c>
      <c r="AE18" s="2">
        <v>2015</v>
      </c>
      <c r="AF18" s="2">
        <v>2016</v>
      </c>
      <c r="AG18" s="2">
        <v>2017</v>
      </c>
      <c r="AH18" s="2">
        <v>2018</v>
      </c>
      <c r="AI18" s="2">
        <v>2019</v>
      </c>
      <c r="AJ18" s="2">
        <v>2020</v>
      </c>
      <c r="AK18" s="2">
        <v>2021</v>
      </c>
      <c r="AL18" s="2">
        <v>2022</v>
      </c>
      <c r="AM18" s="2">
        <v>2023</v>
      </c>
      <c r="AN18" s="2">
        <v>2024</v>
      </c>
      <c r="AO18" s="2">
        <v>2025</v>
      </c>
      <c r="AP18" s="2">
        <v>2026</v>
      </c>
      <c r="AR18" s="2" t="s">
        <v>15</v>
      </c>
      <c r="AS18" s="2" t="s">
        <v>17</v>
      </c>
      <c r="AT18" s="2" t="s">
        <v>18</v>
      </c>
    </row>
    <row r="19" spans="1:46">
      <c r="A19" t="s">
        <v>8</v>
      </c>
      <c r="B19">
        <v>103</v>
      </c>
      <c r="C19">
        <v>103</v>
      </c>
      <c r="D19">
        <v>103</v>
      </c>
      <c r="E19">
        <v>56</v>
      </c>
      <c r="F19">
        <v>63</v>
      </c>
      <c r="G19">
        <v>63</v>
      </c>
      <c r="H19">
        <v>83</v>
      </c>
      <c r="I19">
        <v>68</v>
      </c>
      <c r="J19">
        <v>62</v>
      </c>
      <c r="K19">
        <v>76</v>
      </c>
      <c r="L19">
        <v>88</v>
      </c>
      <c r="M19">
        <v>50</v>
      </c>
      <c r="N19">
        <v>49</v>
      </c>
      <c r="O19">
        <v>54</v>
      </c>
      <c r="P19">
        <v>51</v>
      </c>
      <c r="Q19">
        <v>55</v>
      </c>
      <c r="R19">
        <v>60</v>
      </c>
      <c r="S19">
        <v>46</v>
      </c>
      <c r="T19">
        <v>46</v>
      </c>
      <c r="U19">
        <v>50</v>
      </c>
      <c r="V19">
        <v>50</v>
      </c>
      <c r="W19">
        <v>50</v>
      </c>
      <c r="X19">
        <v>50</v>
      </c>
      <c r="Y19">
        <v>50</v>
      </c>
      <c r="Z19">
        <v>0</v>
      </c>
      <c r="AA19">
        <v>20</v>
      </c>
      <c r="AB19">
        <v>0</v>
      </c>
      <c r="AC19">
        <v>26</v>
      </c>
      <c r="AD19">
        <v>31</v>
      </c>
      <c r="AE19">
        <v>37</v>
      </c>
      <c r="AF19">
        <v>37</v>
      </c>
      <c r="AG19">
        <v>37</v>
      </c>
      <c r="AH19">
        <v>37</v>
      </c>
      <c r="AI19">
        <v>37</v>
      </c>
      <c r="AJ19">
        <v>37</v>
      </c>
      <c r="AK19">
        <v>37</v>
      </c>
      <c r="AL19">
        <v>37</v>
      </c>
      <c r="AM19">
        <v>37</v>
      </c>
      <c r="AN19">
        <v>37</v>
      </c>
      <c r="AO19">
        <v>31</v>
      </c>
      <c r="AP19">
        <v>30</v>
      </c>
      <c r="AR19">
        <f>SUM(B19:AQ19)</f>
        <v>2037</v>
      </c>
      <c r="AS19">
        <f>SUM(B19:AA19)</f>
        <v>1549</v>
      </c>
      <c r="AT19">
        <f>SUM(AB19:AP19)</f>
        <v>488</v>
      </c>
    </row>
    <row r="20" spans="1:46">
      <c r="A20" t="s">
        <v>9</v>
      </c>
      <c r="B20">
        <v>67</v>
      </c>
      <c r="C20">
        <v>67</v>
      </c>
      <c r="D20">
        <v>67</v>
      </c>
      <c r="E20">
        <v>37</v>
      </c>
      <c r="F20">
        <v>45</v>
      </c>
      <c r="G20">
        <v>45</v>
      </c>
      <c r="H20">
        <v>53</v>
      </c>
      <c r="I20">
        <v>52</v>
      </c>
      <c r="J20">
        <v>35</v>
      </c>
      <c r="K20">
        <v>48</v>
      </c>
      <c r="L20">
        <v>59</v>
      </c>
      <c r="M20">
        <v>53</v>
      </c>
      <c r="N20">
        <v>38</v>
      </c>
      <c r="O20">
        <v>20</v>
      </c>
      <c r="P20">
        <v>32</v>
      </c>
      <c r="Q20">
        <v>47</v>
      </c>
      <c r="R20">
        <v>24</v>
      </c>
      <c r="S20">
        <v>17</v>
      </c>
      <c r="T20">
        <v>18</v>
      </c>
      <c r="U20">
        <v>15</v>
      </c>
      <c r="V20">
        <v>31</v>
      </c>
      <c r="W20">
        <v>31</v>
      </c>
      <c r="X20">
        <v>37</v>
      </c>
      <c r="Y20">
        <v>40</v>
      </c>
      <c r="Z20">
        <v>0</v>
      </c>
      <c r="AA20">
        <v>18</v>
      </c>
      <c r="AB20">
        <v>0</v>
      </c>
      <c r="AC20">
        <v>22</v>
      </c>
      <c r="AD20">
        <v>22</v>
      </c>
      <c r="AE20">
        <v>10</v>
      </c>
      <c r="AF20">
        <v>10</v>
      </c>
      <c r="AG20">
        <v>10</v>
      </c>
      <c r="AH20">
        <v>10</v>
      </c>
      <c r="AI20">
        <v>8</v>
      </c>
      <c r="AJ20">
        <v>8</v>
      </c>
      <c r="AK20">
        <v>6</v>
      </c>
      <c r="AL20">
        <v>6</v>
      </c>
      <c r="AM20">
        <v>7</v>
      </c>
      <c r="AN20">
        <v>6</v>
      </c>
      <c r="AO20">
        <v>10</v>
      </c>
      <c r="AP20">
        <v>10</v>
      </c>
      <c r="AR20">
        <f t="shared" ref="AR20:AR24" si="9">SUM(B20:AQ20)</f>
        <v>1141</v>
      </c>
      <c r="AS20">
        <f t="shared" ref="AS20:AS25" si="10">SUM(B20:AA20)</f>
        <v>996</v>
      </c>
      <c r="AT20">
        <f t="shared" ref="AT20:AT25" si="11">SUM(AB20:AP20)</f>
        <v>145</v>
      </c>
    </row>
    <row r="21" spans="1:46">
      <c r="A21" t="s">
        <v>10</v>
      </c>
      <c r="B21">
        <v>23</v>
      </c>
      <c r="C21">
        <v>13</v>
      </c>
      <c r="D21">
        <v>23</v>
      </c>
      <c r="E21">
        <v>12</v>
      </c>
      <c r="F21">
        <v>18</v>
      </c>
      <c r="G21">
        <v>18</v>
      </c>
      <c r="H21">
        <v>20</v>
      </c>
      <c r="I21">
        <v>17</v>
      </c>
      <c r="J21">
        <v>15</v>
      </c>
      <c r="K21">
        <v>22</v>
      </c>
      <c r="L21">
        <v>23</v>
      </c>
      <c r="M21">
        <v>22</v>
      </c>
      <c r="N21">
        <v>17</v>
      </c>
      <c r="O21">
        <v>17</v>
      </c>
      <c r="P21">
        <v>23</v>
      </c>
      <c r="Q21">
        <v>22</v>
      </c>
      <c r="R21">
        <v>12</v>
      </c>
      <c r="S21">
        <v>13</v>
      </c>
      <c r="T21">
        <v>14</v>
      </c>
      <c r="U21">
        <v>12</v>
      </c>
      <c r="V21">
        <v>13</v>
      </c>
      <c r="W21">
        <v>14</v>
      </c>
      <c r="X21">
        <v>14</v>
      </c>
      <c r="Y21">
        <v>15</v>
      </c>
      <c r="Z21">
        <v>0</v>
      </c>
      <c r="AA21">
        <v>7</v>
      </c>
      <c r="AB21">
        <v>0</v>
      </c>
      <c r="AC21">
        <v>8</v>
      </c>
      <c r="AD21">
        <v>9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  <c r="AL21">
        <v>10</v>
      </c>
      <c r="AM21">
        <v>10</v>
      </c>
      <c r="AN21">
        <v>10</v>
      </c>
      <c r="AO21">
        <v>10</v>
      </c>
      <c r="AP21">
        <v>10</v>
      </c>
      <c r="AR21">
        <f t="shared" si="9"/>
        <v>556</v>
      </c>
      <c r="AS21">
        <f t="shared" si="10"/>
        <v>419</v>
      </c>
      <c r="AT21">
        <f t="shared" si="11"/>
        <v>137</v>
      </c>
    </row>
    <row r="22" spans="1:46">
      <c r="A22" t="s">
        <v>11</v>
      </c>
      <c r="B22">
        <v>107</v>
      </c>
      <c r="C22">
        <v>107</v>
      </c>
      <c r="D22">
        <v>105</v>
      </c>
      <c r="E22">
        <v>59</v>
      </c>
      <c r="F22">
        <v>175</v>
      </c>
      <c r="G22">
        <v>174</v>
      </c>
      <c r="H22">
        <v>129</v>
      </c>
      <c r="I22">
        <v>127</v>
      </c>
      <c r="J22">
        <v>120</v>
      </c>
      <c r="K22">
        <v>111</v>
      </c>
      <c r="L22">
        <v>130</v>
      </c>
      <c r="M22">
        <v>80</v>
      </c>
      <c r="N22">
        <v>81</v>
      </c>
      <c r="O22">
        <v>85</v>
      </c>
      <c r="P22">
        <v>88</v>
      </c>
      <c r="Q22">
        <v>86</v>
      </c>
      <c r="R22">
        <v>84</v>
      </c>
      <c r="S22">
        <v>111</v>
      </c>
      <c r="T22">
        <v>90</v>
      </c>
      <c r="U22">
        <v>82</v>
      </c>
      <c r="V22">
        <v>83</v>
      </c>
      <c r="W22">
        <v>76</v>
      </c>
      <c r="X22">
        <v>76</v>
      </c>
      <c r="Y22">
        <v>69</v>
      </c>
      <c r="Z22">
        <v>0</v>
      </c>
      <c r="AA22">
        <v>27</v>
      </c>
      <c r="AB22">
        <v>0</v>
      </c>
      <c r="AC22">
        <v>45</v>
      </c>
      <c r="AD22">
        <v>47</v>
      </c>
      <c r="AE22">
        <v>30</v>
      </c>
      <c r="AF22">
        <v>30</v>
      </c>
      <c r="AG22">
        <v>30</v>
      </c>
      <c r="AH22">
        <v>30</v>
      </c>
      <c r="AI22">
        <v>30</v>
      </c>
      <c r="AJ22">
        <v>30</v>
      </c>
      <c r="AK22">
        <v>30</v>
      </c>
      <c r="AL22">
        <v>30</v>
      </c>
      <c r="AM22">
        <v>30</v>
      </c>
      <c r="AN22">
        <v>30</v>
      </c>
      <c r="AO22">
        <v>30</v>
      </c>
      <c r="AP22">
        <v>30</v>
      </c>
      <c r="AR22">
        <f t="shared" si="9"/>
        <v>2914</v>
      </c>
      <c r="AS22">
        <f t="shared" si="10"/>
        <v>2462</v>
      </c>
      <c r="AT22">
        <f t="shared" si="11"/>
        <v>452</v>
      </c>
    </row>
    <row r="23" spans="1:46">
      <c r="A23" t="s">
        <v>12</v>
      </c>
      <c r="M23">
        <v>30</v>
      </c>
      <c r="N23">
        <v>35</v>
      </c>
      <c r="O23">
        <v>35</v>
      </c>
      <c r="P23">
        <v>30</v>
      </c>
      <c r="Q23">
        <v>35</v>
      </c>
      <c r="R23">
        <v>35</v>
      </c>
      <c r="S23">
        <v>41</v>
      </c>
      <c r="T23">
        <v>35</v>
      </c>
      <c r="U23">
        <v>29</v>
      </c>
      <c r="V23">
        <v>35</v>
      </c>
      <c r="W23">
        <v>29</v>
      </c>
      <c r="X23">
        <v>35</v>
      </c>
      <c r="Y23">
        <v>32</v>
      </c>
      <c r="Z23">
        <v>0</v>
      </c>
      <c r="AA23">
        <v>14</v>
      </c>
      <c r="AB23">
        <v>0</v>
      </c>
      <c r="AC23">
        <v>18</v>
      </c>
      <c r="AD23">
        <v>20</v>
      </c>
      <c r="AE23">
        <v>33</v>
      </c>
      <c r="AF23">
        <v>33</v>
      </c>
      <c r="AG23">
        <v>33</v>
      </c>
      <c r="AH23">
        <v>33</v>
      </c>
      <c r="AI23">
        <v>33</v>
      </c>
      <c r="AJ23">
        <v>33</v>
      </c>
      <c r="AK23">
        <v>33</v>
      </c>
      <c r="AL23">
        <v>33</v>
      </c>
      <c r="AM23">
        <v>33</v>
      </c>
      <c r="AN23">
        <v>33</v>
      </c>
      <c r="AO23">
        <v>33</v>
      </c>
      <c r="AP23">
        <v>33</v>
      </c>
      <c r="AR23">
        <f t="shared" si="9"/>
        <v>884</v>
      </c>
      <c r="AS23">
        <f t="shared" si="10"/>
        <v>450</v>
      </c>
      <c r="AT23">
        <f t="shared" si="11"/>
        <v>434</v>
      </c>
    </row>
    <row r="24" spans="1:46">
      <c r="A24" t="s">
        <v>13</v>
      </c>
      <c r="O24">
        <f t="shared" ref="O24:AA24" si="12">O25-O19-O20-O21-O22-O23</f>
        <v>1</v>
      </c>
      <c r="P24">
        <f t="shared" si="12"/>
        <v>5</v>
      </c>
      <c r="Q24">
        <f t="shared" si="12"/>
        <v>15</v>
      </c>
      <c r="R24">
        <f t="shared" si="12"/>
        <v>38</v>
      </c>
      <c r="S24">
        <f t="shared" si="12"/>
        <v>47</v>
      </c>
      <c r="T24">
        <f t="shared" si="12"/>
        <v>38</v>
      </c>
      <c r="U24">
        <f t="shared" si="12"/>
        <v>41</v>
      </c>
      <c r="V24">
        <f t="shared" si="12"/>
        <v>21</v>
      </c>
      <c r="W24">
        <f t="shared" si="12"/>
        <v>5</v>
      </c>
      <c r="X24">
        <f t="shared" si="12"/>
        <v>0</v>
      </c>
      <c r="Y24">
        <f t="shared" si="12"/>
        <v>0</v>
      </c>
      <c r="Z24">
        <f t="shared" si="12"/>
        <v>0</v>
      </c>
      <c r="AA24">
        <f t="shared" si="12"/>
        <v>0</v>
      </c>
      <c r="AB24">
        <v>0</v>
      </c>
      <c r="AC24">
        <v>11</v>
      </c>
      <c r="AD24">
        <v>1</v>
      </c>
      <c r="AE24">
        <v>20</v>
      </c>
      <c r="AF24">
        <v>10</v>
      </c>
      <c r="AG24">
        <v>10</v>
      </c>
      <c r="AH24">
        <v>10</v>
      </c>
      <c r="AI24">
        <v>12</v>
      </c>
      <c r="AJ24">
        <v>12</v>
      </c>
      <c r="AK24">
        <v>14</v>
      </c>
      <c r="AL24">
        <v>14</v>
      </c>
      <c r="AM24">
        <v>13</v>
      </c>
      <c r="AN24">
        <v>14</v>
      </c>
      <c r="AO24">
        <v>16</v>
      </c>
      <c r="AP24">
        <v>17</v>
      </c>
      <c r="AR24">
        <f t="shared" si="9"/>
        <v>385</v>
      </c>
      <c r="AS24">
        <f t="shared" si="10"/>
        <v>211</v>
      </c>
      <c r="AT24">
        <f t="shared" si="11"/>
        <v>174</v>
      </c>
    </row>
    <row r="25" spans="1:46" s="1" customFormat="1">
      <c r="A25" s="1" t="s">
        <v>15</v>
      </c>
      <c r="B25" s="1">
        <v>300</v>
      </c>
      <c r="C25" s="1">
        <v>290</v>
      </c>
      <c r="D25" s="1">
        <v>298</v>
      </c>
      <c r="E25" s="1">
        <v>164</v>
      </c>
      <c r="F25" s="1">
        <v>301</v>
      </c>
      <c r="G25" s="1">
        <v>300</v>
      </c>
      <c r="H25" s="1">
        <v>285</v>
      </c>
      <c r="I25" s="1">
        <v>264</v>
      </c>
      <c r="J25" s="1">
        <v>232</v>
      </c>
      <c r="K25" s="1">
        <v>257</v>
      </c>
      <c r="L25" s="1">
        <v>300</v>
      </c>
      <c r="M25" s="1">
        <v>235</v>
      </c>
      <c r="N25" s="1">
        <v>220</v>
      </c>
      <c r="O25" s="1">
        <v>212</v>
      </c>
      <c r="P25" s="1">
        <v>229</v>
      </c>
      <c r="Q25" s="1">
        <v>260</v>
      </c>
      <c r="R25" s="1">
        <v>253</v>
      </c>
      <c r="S25" s="1">
        <v>275</v>
      </c>
      <c r="T25" s="1">
        <v>241</v>
      </c>
      <c r="U25" s="1">
        <v>229</v>
      </c>
      <c r="V25" s="1">
        <v>233</v>
      </c>
      <c r="W25" s="1">
        <v>205</v>
      </c>
      <c r="X25" s="1">
        <v>212</v>
      </c>
      <c r="Y25" s="1">
        <v>206</v>
      </c>
      <c r="Z25" s="1">
        <v>0</v>
      </c>
      <c r="AA25" s="1">
        <v>86</v>
      </c>
      <c r="AB25" s="1">
        <v>0</v>
      </c>
      <c r="AC25" s="1">
        <f>SUM(AC19:AC24)</f>
        <v>130</v>
      </c>
      <c r="AD25" s="1">
        <f t="shared" ref="AD25:AP25" si="13">SUM(AD19:AD24)</f>
        <v>130</v>
      </c>
      <c r="AE25" s="1">
        <f t="shared" si="13"/>
        <v>140</v>
      </c>
      <c r="AF25" s="1">
        <f t="shared" si="13"/>
        <v>130</v>
      </c>
      <c r="AG25" s="1">
        <f t="shared" si="13"/>
        <v>130</v>
      </c>
      <c r="AH25" s="1">
        <f t="shared" si="13"/>
        <v>130</v>
      </c>
      <c r="AI25" s="1">
        <f t="shared" si="13"/>
        <v>130</v>
      </c>
      <c r="AJ25" s="1">
        <f t="shared" si="13"/>
        <v>130</v>
      </c>
      <c r="AK25" s="1">
        <f t="shared" si="13"/>
        <v>130</v>
      </c>
      <c r="AL25" s="1">
        <f t="shared" si="13"/>
        <v>130</v>
      </c>
      <c r="AM25" s="1">
        <f t="shared" si="13"/>
        <v>130</v>
      </c>
      <c r="AN25" s="1">
        <f t="shared" si="13"/>
        <v>130</v>
      </c>
      <c r="AO25" s="1">
        <f t="shared" si="13"/>
        <v>130</v>
      </c>
      <c r="AP25" s="1">
        <f t="shared" si="13"/>
        <v>130</v>
      </c>
      <c r="AR25" s="1">
        <f>SUM(B25:AQ25)</f>
        <v>7917</v>
      </c>
      <c r="AS25" s="1">
        <f t="shared" si="10"/>
        <v>6087</v>
      </c>
      <c r="AT25" s="1">
        <f t="shared" si="11"/>
        <v>1830</v>
      </c>
    </row>
    <row r="27" spans="1:46" s="2" customFormat="1">
      <c r="A27" s="1" t="s">
        <v>19</v>
      </c>
      <c r="B27" s="2">
        <v>1986</v>
      </c>
      <c r="C27" s="2">
        <v>1987</v>
      </c>
      <c r="D27" s="2">
        <v>1988</v>
      </c>
      <c r="E27" s="2">
        <v>1989</v>
      </c>
      <c r="F27" s="2">
        <v>1990</v>
      </c>
      <c r="G27" s="2">
        <v>1991</v>
      </c>
      <c r="H27" s="2">
        <v>1992</v>
      </c>
      <c r="I27" s="2">
        <v>1993</v>
      </c>
      <c r="J27" s="2">
        <v>1994</v>
      </c>
      <c r="K27" s="2">
        <v>1995</v>
      </c>
      <c r="L27" s="2">
        <v>1996</v>
      </c>
      <c r="M27" s="2">
        <v>1997</v>
      </c>
      <c r="N27" s="2">
        <v>1998</v>
      </c>
      <c r="O27" s="2">
        <v>1999</v>
      </c>
      <c r="P27" s="2">
        <v>2000</v>
      </c>
      <c r="Q27" s="2">
        <v>2001</v>
      </c>
      <c r="R27" s="2">
        <v>2002</v>
      </c>
      <c r="S27" s="2">
        <v>2003</v>
      </c>
      <c r="T27" s="2">
        <v>2004</v>
      </c>
      <c r="U27" s="2">
        <v>2005</v>
      </c>
      <c r="V27" s="2">
        <v>2006</v>
      </c>
      <c r="W27" s="2">
        <v>2007</v>
      </c>
      <c r="X27" s="2">
        <v>2008</v>
      </c>
      <c r="Y27" s="2">
        <v>2009</v>
      </c>
      <c r="Z27" s="2">
        <v>2010</v>
      </c>
      <c r="AA27" s="2">
        <v>2011</v>
      </c>
      <c r="AB27" s="2">
        <v>2012</v>
      </c>
      <c r="AC27" s="2">
        <v>2013</v>
      </c>
      <c r="AD27" s="2">
        <v>2014</v>
      </c>
      <c r="AE27" s="2">
        <v>2015</v>
      </c>
      <c r="AF27" s="2">
        <v>2016</v>
      </c>
      <c r="AG27" s="2">
        <v>2017</v>
      </c>
      <c r="AH27" s="2">
        <v>2018</v>
      </c>
      <c r="AI27" s="2">
        <v>2019</v>
      </c>
      <c r="AJ27" s="2">
        <v>2020</v>
      </c>
      <c r="AK27" s="2">
        <v>2021</v>
      </c>
      <c r="AL27" s="2">
        <v>2022</v>
      </c>
      <c r="AM27" s="2">
        <v>2023</v>
      </c>
      <c r="AN27" s="2">
        <v>2024</v>
      </c>
      <c r="AO27" s="2">
        <v>2025</v>
      </c>
      <c r="AP27" s="2">
        <v>2026</v>
      </c>
      <c r="AR27" s="2" t="s">
        <v>15</v>
      </c>
      <c r="AS27" s="2" t="s">
        <v>17</v>
      </c>
      <c r="AT27" s="2" t="s">
        <v>18</v>
      </c>
    </row>
    <row r="28" spans="1:46">
      <c r="A28" t="s">
        <v>8</v>
      </c>
      <c r="B28">
        <f t="shared" ref="B28:AP28" si="14">B19-B37</f>
        <v>103</v>
      </c>
      <c r="C28">
        <f t="shared" si="14"/>
        <v>103</v>
      </c>
      <c r="D28">
        <f t="shared" si="14"/>
        <v>103</v>
      </c>
      <c r="E28">
        <f t="shared" si="14"/>
        <v>56</v>
      </c>
      <c r="F28">
        <f t="shared" si="14"/>
        <v>63</v>
      </c>
      <c r="G28">
        <f t="shared" si="14"/>
        <v>63</v>
      </c>
      <c r="H28">
        <f t="shared" si="14"/>
        <v>83</v>
      </c>
      <c r="I28">
        <f t="shared" si="14"/>
        <v>68</v>
      </c>
      <c r="J28">
        <f t="shared" si="14"/>
        <v>62</v>
      </c>
      <c r="K28">
        <f t="shared" si="14"/>
        <v>76</v>
      </c>
      <c r="L28">
        <f t="shared" si="14"/>
        <v>88</v>
      </c>
      <c r="M28">
        <f t="shared" si="14"/>
        <v>50</v>
      </c>
      <c r="N28">
        <f t="shared" si="14"/>
        <v>49</v>
      </c>
      <c r="O28">
        <f t="shared" si="14"/>
        <v>54</v>
      </c>
      <c r="P28">
        <f t="shared" si="14"/>
        <v>51</v>
      </c>
      <c r="Q28">
        <f t="shared" si="14"/>
        <v>55</v>
      </c>
      <c r="R28">
        <f t="shared" si="14"/>
        <v>60</v>
      </c>
      <c r="S28">
        <f t="shared" si="14"/>
        <v>46</v>
      </c>
      <c r="T28">
        <f t="shared" si="14"/>
        <v>46</v>
      </c>
      <c r="U28">
        <f t="shared" si="14"/>
        <v>50</v>
      </c>
      <c r="V28">
        <f t="shared" si="14"/>
        <v>50</v>
      </c>
      <c r="W28">
        <f t="shared" si="14"/>
        <v>50</v>
      </c>
      <c r="X28">
        <f t="shared" si="14"/>
        <v>50</v>
      </c>
      <c r="Y28">
        <f t="shared" si="14"/>
        <v>50</v>
      </c>
      <c r="Z28">
        <f t="shared" si="14"/>
        <v>0</v>
      </c>
      <c r="AA28">
        <f t="shared" si="14"/>
        <v>20</v>
      </c>
      <c r="AB28">
        <f t="shared" si="14"/>
        <v>0</v>
      </c>
      <c r="AC28">
        <f t="shared" si="14"/>
        <v>26</v>
      </c>
      <c r="AD28">
        <f t="shared" si="14"/>
        <v>31</v>
      </c>
      <c r="AE28">
        <f t="shared" si="14"/>
        <v>37</v>
      </c>
      <c r="AF28">
        <f t="shared" si="14"/>
        <v>37</v>
      </c>
      <c r="AG28">
        <f t="shared" si="14"/>
        <v>8</v>
      </c>
      <c r="AH28">
        <f t="shared" si="14"/>
        <v>0</v>
      </c>
      <c r="AI28">
        <f t="shared" si="14"/>
        <v>0</v>
      </c>
      <c r="AJ28">
        <f t="shared" si="14"/>
        <v>0</v>
      </c>
      <c r="AK28">
        <f t="shared" si="14"/>
        <v>0</v>
      </c>
      <c r="AL28">
        <f t="shared" si="14"/>
        <v>0</v>
      </c>
      <c r="AM28">
        <f t="shared" si="14"/>
        <v>0</v>
      </c>
      <c r="AN28">
        <f t="shared" si="14"/>
        <v>0</v>
      </c>
      <c r="AO28">
        <f t="shared" si="14"/>
        <v>0</v>
      </c>
      <c r="AP28">
        <f t="shared" si="14"/>
        <v>0</v>
      </c>
      <c r="AR28">
        <f>SUM(B28:AQ28)</f>
        <v>1688</v>
      </c>
      <c r="AS28">
        <f>SUM(B28:AA28)</f>
        <v>1549</v>
      </c>
      <c r="AT28">
        <f>SUM(AB28:AP28)</f>
        <v>139</v>
      </c>
    </row>
    <row r="29" spans="1:46">
      <c r="A29" t="s">
        <v>9</v>
      </c>
      <c r="B29">
        <f t="shared" ref="B29:AP29" si="15">B20-B38</f>
        <v>67</v>
      </c>
      <c r="C29">
        <f t="shared" si="15"/>
        <v>67</v>
      </c>
      <c r="D29">
        <f t="shared" si="15"/>
        <v>67</v>
      </c>
      <c r="E29">
        <f t="shared" si="15"/>
        <v>37</v>
      </c>
      <c r="F29">
        <f t="shared" si="15"/>
        <v>45</v>
      </c>
      <c r="G29">
        <f t="shared" si="15"/>
        <v>45</v>
      </c>
      <c r="H29">
        <f t="shared" si="15"/>
        <v>53</v>
      </c>
      <c r="I29">
        <f t="shared" si="15"/>
        <v>52</v>
      </c>
      <c r="J29">
        <f t="shared" si="15"/>
        <v>35</v>
      </c>
      <c r="K29">
        <f t="shared" si="15"/>
        <v>48</v>
      </c>
      <c r="L29">
        <f t="shared" si="15"/>
        <v>59</v>
      </c>
      <c r="M29">
        <f t="shared" si="15"/>
        <v>53</v>
      </c>
      <c r="N29">
        <f t="shared" si="15"/>
        <v>38</v>
      </c>
      <c r="O29">
        <f t="shared" si="15"/>
        <v>20</v>
      </c>
      <c r="P29">
        <f t="shared" si="15"/>
        <v>32</v>
      </c>
      <c r="Q29">
        <f t="shared" si="15"/>
        <v>47</v>
      </c>
      <c r="R29">
        <f t="shared" si="15"/>
        <v>24</v>
      </c>
      <c r="S29">
        <f t="shared" si="15"/>
        <v>17</v>
      </c>
      <c r="T29">
        <f t="shared" si="15"/>
        <v>18</v>
      </c>
      <c r="U29">
        <f t="shared" si="15"/>
        <v>15</v>
      </c>
      <c r="V29">
        <f t="shared" si="15"/>
        <v>31</v>
      </c>
      <c r="W29">
        <f t="shared" si="15"/>
        <v>31</v>
      </c>
      <c r="X29">
        <f t="shared" si="15"/>
        <v>37</v>
      </c>
      <c r="Y29">
        <f t="shared" si="15"/>
        <v>33</v>
      </c>
      <c r="Z29">
        <f t="shared" si="15"/>
        <v>0</v>
      </c>
      <c r="AA29">
        <f t="shared" si="15"/>
        <v>13</v>
      </c>
      <c r="AB29">
        <f t="shared" si="15"/>
        <v>0</v>
      </c>
      <c r="AC29">
        <f t="shared" si="15"/>
        <v>21</v>
      </c>
      <c r="AD29">
        <f t="shared" si="15"/>
        <v>1</v>
      </c>
      <c r="AE29">
        <f t="shared" si="15"/>
        <v>0</v>
      </c>
      <c r="AF29">
        <f t="shared" si="15"/>
        <v>0</v>
      </c>
      <c r="AG29">
        <f t="shared" si="15"/>
        <v>0</v>
      </c>
      <c r="AH29">
        <f t="shared" si="15"/>
        <v>0</v>
      </c>
      <c r="AI29">
        <f t="shared" si="15"/>
        <v>0</v>
      </c>
      <c r="AJ29">
        <f t="shared" si="15"/>
        <v>0</v>
      </c>
      <c r="AK29">
        <f t="shared" si="15"/>
        <v>0</v>
      </c>
      <c r="AL29">
        <f t="shared" si="15"/>
        <v>0</v>
      </c>
      <c r="AM29">
        <f t="shared" si="15"/>
        <v>0</v>
      </c>
      <c r="AN29">
        <f t="shared" si="15"/>
        <v>0</v>
      </c>
      <c r="AO29">
        <f t="shared" si="15"/>
        <v>0</v>
      </c>
      <c r="AP29">
        <f t="shared" si="15"/>
        <v>0</v>
      </c>
      <c r="AR29">
        <f t="shared" ref="AR29:AR34" si="16">SUM(B29:AQ29)</f>
        <v>1006</v>
      </c>
      <c r="AS29">
        <f t="shared" ref="AS29:AS34" si="17">SUM(B29:AA29)</f>
        <v>984</v>
      </c>
      <c r="AT29">
        <f t="shared" ref="AT29:AT34" si="18">SUM(AB29:AP29)</f>
        <v>22</v>
      </c>
    </row>
    <row r="30" spans="1:46">
      <c r="A30" t="s">
        <v>10</v>
      </c>
      <c r="B30">
        <f t="shared" ref="B30:AP30" si="19">B21-B39</f>
        <v>23</v>
      </c>
      <c r="C30">
        <f t="shared" si="19"/>
        <v>13</v>
      </c>
      <c r="D30">
        <f t="shared" si="19"/>
        <v>23</v>
      </c>
      <c r="E30">
        <f t="shared" si="19"/>
        <v>12</v>
      </c>
      <c r="F30">
        <f t="shared" si="19"/>
        <v>18</v>
      </c>
      <c r="G30">
        <f t="shared" si="19"/>
        <v>18</v>
      </c>
      <c r="H30">
        <f t="shared" si="19"/>
        <v>20</v>
      </c>
      <c r="I30">
        <f t="shared" si="19"/>
        <v>17</v>
      </c>
      <c r="J30">
        <f t="shared" si="19"/>
        <v>15</v>
      </c>
      <c r="K30">
        <f t="shared" si="19"/>
        <v>22</v>
      </c>
      <c r="L30">
        <f t="shared" si="19"/>
        <v>23</v>
      </c>
      <c r="M30">
        <f t="shared" si="19"/>
        <v>22</v>
      </c>
      <c r="N30">
        <f t="shared" si="19"/>
        <v>17</v>
      </c>
      <c r="O30">
        <f t="shared" si="19"/>
        <v>17</v>
      </c>
      <c r="P30">
        <f t="shared" si="19"/>
        <v>23</v>
      </c>
      <c r="Q30">
        <f t="shared" si="19"/>
        <v>22</v>
      </c>
      <c r="R30">
        <f t="shared" si="19"/>
        <v>12</v>
      </c>
      <c r="S30">
        <f t="shared" si="19"/>
        <v>13</v>
      </c>
      <c r="T30">
        <f t="shared" si="19"/>
        <v>14</v>
      </c>
      <c r="U30">
        <f t="shared" si="19"/>
        <v>12</v>
      </c>
      <c r="V30">
        <f t="shared" si="19"/>
        <v>13</v>
      </c>
      <c r="W30">
        <f t="shared" si="19"/>
        <v>14</v>
      </c>
      <c r="X30">
        <f t="shared" si="19"/>
        <v>14</v>
      </c>
      <c r="Y30">
        <f t="shared" si="19"/>
        <v>15</v>
      </c>
      <c r="Z30">
        <f t="shared" si="19"/>
        <v>0</v>
      </c>
      <c r="AA30">
        <f t="shared" si="19"/>
        <v>7</v>
      </c>
      <c r="AB30">
        <f t="shared" si="19"/>
        <v>0</v>
      </c>
      <c r="AC30">
        <f t="shared" si="19"/>
        <v>3</v>
      </c>
      <c r="AD30">
        <f t="shared" si="19"/>
        <v>8</v>
      </c>
      <c r="AE30">
        <f t="shared" si="19"/>
        <v>10</v>
      </c>
      <c r="AF30">
        <f t="shared" si="19"/>
        <v>8</v>
      </c>
      <c r="AG30">
        <f t="shared" si="19"/>
        <v>10</v>
      </c>
      <c r="AH30">
        <f t="shared" si="19"/>
        <v>5</v>
      </c>
      <c r="AI30">
        <f t="shared" si="19"/>
        <v>0</v>
      </c>
      <c r="AJ30">
        <f t="shared" si="19"/>
        <v>0</v>
      </c>
      <c r="AK30">
        <f t="shared" si="19"/>
        <v>0</v>
      </c>
      <c r="AL30">
        <f t="shared" si="19"/>
        <v>0</v>
      </c>
      <c r="AM30">
        <f t="shared" si="19"/>
        <v>0</v>
      </c>
      <c r="AN30">
        <f t="shared" si="19"/>
        <v>0</v>
      </c>
      <c r="AO30">
        <f t="shared" si="19"/>
        <v>0</v>
      </c>
      <c r="AP30">
        <f t="shared" si="19"/>
        <v>0</v>
      </c>
      <c r="AR30">
        <f t="shared" si="16"/>
        <v>463</v>
      </c>
      <c r="AS30">
        <f t="shared" si="17"/>
        <v>419</v>
      </c>
      <c r="AT30">
        <f t="shared" si="18"/>
        <v>44</v>
      </c>
    </row>
    <row r="31" spans="1:46">
      <c r="A31" t="s">
        <v>11</v>
      </c>
      <c r="B31">
        <f t="shared" ref="B31:AP31" si="20">B22-B40</f>
        <v>107</v>
      </c>
      <c r="C31">
        <f t="shared" si="20"/>
        <v>107</v>
      </c>
      <c r="D31">
        <f t="shared" si="20"/>
        <v>105</v>
      </c>
      <c r="E31">
        <f t="shared" si="20"/>
        <v>59</v>
      </c>
      <c r="F31">
        <f t="shared" si="20"/>
        <v>175</v>
      </c>
      <c r="G31">
        <f t="shared" si="20"/>
        <v>174</v>
      </c>
      <c r="H31">
        <f t="shared" si="20"/>
        <v>129</v>
      </c>
      <c r="I31">
        <f t="shared" si="20"/>
        <v>127</v>
      </c>
      <c r="J31">
        <f t="shared" si="20"/>
        <v>120</v>
      </c>
      <c r="K31">
        <f t="shared" si="20"/>
        <v>111</v>
      </c>
      <c r="L31">
        <f t="shared" si="20"/>
        <v>130</v>
      </c>
      <c r="M31">
        <f t="shared" si="20"/>
        <v>80</v>
      </c>
      <c r="N31">
        <f t="shared" si="20"/>
        <v>81</v>
      </c>
      <c r="O31">
        <f t="shared" si="20"/>
        <v>85</v>
      </c>
      <c r="P31">
        <f t="shared" si="20"/>
        <v>88</v>
      </c>
      <c r="Q31">
        <f t="shared" si="20"/>
        <v>86</v>
      </c>
      <c r="R31">
        <f t="shared" si="20"/>
        <v>84</v>
      </c>
      <c r="S31">
        <f t="shared" si="20"/>
        <v>111</v>
      </c>
      <c r="T31">
        <f t="shared" si="20"/>
        <v>90</v>
      </c>
      <c r="U31">
        <f t="shared" si="20"/>
        <v>82</v>
      </c>
      <c r="V31">
        <f t="shared" si="20"/>
        <v>83</v>
      </c>
      <c r="W31">
        <f t="shared" si="20"/>
        <v>76</v>
      </c>
      <c r="X31">
        <f t="shared" si="20"/>
        <v>76</v>
      </c>
      <c r="Y31">
        <f t="shared" si="20"/>
        <v>69</v>
      </c>
      <c r="Z31">
        <f t="shared" si="20"/>
        <v>0</v>
      </c>
      <c r="AA31">
        <f t="shared" si="20"/>
        <v>27</v>
      </c>
      <c r="AB31">
        <f t="shared" si="20"/>
        <v>0</v>
      </c>
      <c r="AC31">
        <f t="shared" si="20"/>
        <v>45</v>
      </c>
      <c r="AD31">
        <f t="shared" si="20"/>
        <v>47</v>
      </c>
      <c r="AE31">
        <f t="shared" si="20"/>
        <v>30</v>
      </c>
      <c r="AF31">
        <f t="shared" si="20"/>
        <v>30</v>
      </c>
      <c r="AG31">
        <f t="shared" si="20"/>
        <v>30</v>
      </c>
      <c r="AH31">
        <f t="shared" si="20"/>
        <v>30</v>
      </c>
      <c r="AI31">
        <f t="shared" si="20"/>
        <v>30</v>
      </c>
      <c r="AJ31">
        <f t="shared" si="20"/>
        <v>30</v>
      </c>
      <c r="AK31">
        <f t="shared" si="20"/>
        <v>30</v>
      </c>
      <c r="AL31">
        <f t="shared" si="20"/>
        <v>30</v>
      </c>
      <c r="AM31">
        <f t="shared" si="20"/>
        <v>19</v>
      </c>
      <c r="AN31">
        <f t="shared" si="20"/>
        <v>3</v>
      </c>
      <c r="AO31">
        <f t="shared" si="20"/>
        <v>0</v>
      </c>
      <c r="AP31">
        <f t="shared" si="20"/>
        <v>0</v>
      </c>
      <c r="AR31">
        <f t="shared" si="16"/>
        <v>2816</v>
      </c>
      <c r="AS31">
        <f t="shared" si="17"/>
        <v>2462</v>
      </c>
      <c r="AT31">
        <f t="shared" si="18"/>
        <v>354</v>
      </c>
    </row>
    <row r="32" spans="1:46">
      <c r="A32" t="s">
        <v>12</v>
      </c>
      <c r="M32">
        <f t="shared" ref="M32:AP32" si="21">M23-M41</f>
        <v>30</v>
      </c>
      <c r="N32">
        <f t="shared" si="21"/>
        <v>35</v>
      </c>
      <c r="O32">
        <f t="shared" si="21"/>
        <v>35</v>
      </c>
      <c r="P32">
        <f t="shared" si="21"/>
        <v>30</v>
      </c>
      <c r="Q32">
        <f t="shared" si="21"/>
        <v>35</v>
      </c>
      <c r="R32">
        <f t="shared" si="21"/>
        <v>35</v>
      </c>
      <c r="S32">
        <f t="shared" si="21"/>
        <v>41</v>
      </c>
      <c r="T32">
        <f t="shared" si="21"/>
        <v>35</v>
      </c>
      <c r="U32">
        <f t="shared" si="21"/>
        <v>29</v>
      </c>
      <c r="V32">
        <f t="shared" si="21"/>
        <v>35</v>
      </c>
      <c r="W32">
        <f t="shared" si="21"/>
        <v>29</v>
      </c>
      <c r="X32">
        <f t="shared" si="21"/>
        <v>35</v>
      </c>
      <c r="Y32">
        <f t="shared" si="21"/>
        <v>28</v>
      </c>
      <c r="Z32">
        <f t="shared" si="21"/>
        <v>0</v>
      </c>
      <c r="AA32">
        <f t="shared" si="21"/>
        <v>13</v>
      </c>
      <c r="AB32">
        <f t="shared" si="21"/>
        <v>0</v>
      </c>
      <c r="AC32">
        <f t="shared" si="21"/>
        <v>18</v>
      </c>
      <c r="AD32">
        <f t="shared" si="21"/>
        <v>20</v>
      </c>
      <c r="AE32">
        <f t="shared" si="21"/>
        <v>31</v>
      </c>
      <c r="AF32">
        <f t="shared" si="21"/>
        <v>13</v>
      </c>
      <c r="AG32">
        <f t="shared" si="21"/>
        <v>29</v>
      </c>
      <c r="AH32">
        <f t="shared" si="21"/>
        <v>4</v>
      </c>
      <c r="AI32">
        <f t="shared" si="21"/>
        <v>32</v>
      </c>
      <c r="AJ32">
        <f t="shared" si="21"/>
        <v>33</v>
      </c>
      <c r="AK32">
        <f t="shared" si="21"/>
        <v>32</v>
      </c>
      <c r="AL32">
        <f t="shared" si="21"/>
        <v>19</v>
      </c>
      <c r="AM32">
        <f t="shared" si="21"/>
        <v>22</v>
      </c>
      <c r="AN32">
        <f t="shared" si="21"/>
        <v>0</v>
      </c>
      <c r="AO32">
        <f t="shared" si="21"/>
        <v>0</v>
      </c>
      <c r="AP32">
        <f t="shared" si="21"/>
        <v>0</v>
      </c>
      <c r="AR32">
        <f t="shared" si="16"/>
        <v>698</v>
      </c>
      <c r="AS32">
        <f t="shared" si="17"/>
        <v>445</v>
      </c>
      <c r="AT32">
        <f t="shared" si="18"/>
        <v>253</v>
      </c>
    </row>
    <row r="33" spans="1:46">
      <c r="A33" t="s">
        <v>13</v>
      </c>
      <c r="O33">
        <f t="shared" ref="O33:AP33" si="22">O24-O42</f>
        <v>1</v>
      </c>
      <c r="P33">
        <f t="shared" si="22"/>
        <v>5</v>
      </c>
      <c r="Q33">
        <f t="shared" si="22"/>
        <v>15</v>
      </c>
      <c r="R33">
        <f t="shared" si="22"/>
        <v>38</v>
      </c>
      <c r="S33">
        <f t="shared" si="22"/>
        <v>47</v>
      </c>
      <c r="T33">
        <f t="shared" si="22"/>
        <v>38</v>
      </c>
      <c r="U33">
        <f t="shared" si="22"/>
        <v>41</v>
      </c>
      <c r="V33">
        <f t="shared" si="22"/>
        <v>21</v>
      </c>
      <c r="W33">
        <f t="shared" si="22"/>
        <v>5</v>
      </c>
      <c r="X33">
        <f t="shared" si="22"/>
        <v>0</v>
      </c>
      <c r="Y33">
        <f t="shared" si="22"/>
        <v>0</v>
      </c>
      <c r="Z33">
        <f t="shared" si="22"/>
        <v>0</v>
      </c>
      <c r="AA33">
        <f t="shared" si="22"/>
        <v>0</v>
      </c>
      <c r="AB33">
        <f t="shared" si="22"/>
        <v>0</v>
      </c>
      <c r="AC33">
        <f t="shared" si="22"/>
        <v>4</v>
      </c>
      <c r="AD33">
        <f t="shared" si="22"/>
        <v>1</v>
      </c>
      <c r="AE33">
        <f t="shared" si="22"/>
        <v>3</v>
      </c>
      <c r="AF33">
        <f t="shared" si="22"/>
        <v>1</v>
      </c>
      <c r="AG33">
        <f t="shared" si="22"/>
        <v>3</v>
      </c>
      <c r="AH33">
        <f t="shared" si="22"/>
        <v>0</v>
      </c>
      <c r="AI33">
        <f t="shared" si="22"/>
        <v>1</v>
      </c>
      <c r="AJ33">
        <f t="shared" si="22"/>
        <v>2</v>
      </c>
      <c r="AK33">
        <f t="shared" si="22"/>
        <v>2</v>
      </c>
      <c r="AL33">
        <f t="shared" si="22"/>
        <v>2</v>
      </c>
      <c r="AM33">
        <f t="shared" si="22"/>
        <v>0</v>
      </c>
      <c r="AN33">
        <f t="shared" si="22"/>
        <v>0</v>
      </c>
      <c r="AO33">
        <f t="shared" si="22"/>
        <v>1</v>
      </c>
      <c r="AP33">
        <f t="shared" si="22"/>
        <v>0</v>
      </c>
      <c r="AR33">
        <f t="shared" si="16"/>
        <v>231</v>
      </c>
      <c r="AS33">
        <f t="shared" si="17"/>
        <v>211</v>
      </c>
      <c r="AT33">
        <f t="shared" si="18"/>
        <v>20</v>
      </c>
    </row>
    <row r="34" spans="1:46" s="1" customFormat="1">
      <c r="A34" s="1" t="s">
        <v>15</v>
      </c>
      <c r="B34" s="1">
        <f>SUM(B28:B33)</f>
        <v>300</v>
      </c>
      <c r="C34" s="1">
        <f t="shared" ref="C34" si="23">SUM(C28:C33)</f>
        <v>290</v>
      </c>
      <c r="D34" s="1">
        <f t="shared" ref="D34" si="24">SUM(D28:D33)</f>
        <v>298</v>
      </c>
      <c r="E34" s="1">
        <f t="shared" ref="E34" si="25">SUM(E28:E33)</f>
        <v>164</v>
      </c>
      <c r="F34" s="1">
        <f t="shared" ref="F34" si="26">SUM(F28:F33)</f>
        <v>301</v>
      </c>
      <c r="G34" s="1">
        <f t="shared" ref="G34" si="27">SUM(G28:G33)</f>
        <v>300</v>
      </c>
      <c r="H34" s="1">
        <f t="shared" ref="H34" si="28">SUM(H28:H33)</f>
        <v>285</v>
      </c>
      <c r="I34" s="1">
        <f t="shared" ref="I34" si="29">SUM(I28:I33)</f>
        <v>264</v>
      </c>
      <c r="J34" s="1">
        <f t="shared" ref="J34" si="30">SUM(J28:J33)</f>
        <v>232</v>
      </c>
      <c r="K34" s="1">
        <f t="shared" ref="K34" si="31">SUM(K28:K33)</f>
        <v>257</v>
      </c>
      <c r="L34" s="1">
        <f>L25-L133</f>
        <v>300</v>
      </c>
      <c r="M34" s="1">
        <f>M25-M133</f>
        <v>235</v>
      </c>
      <c r="N34" s="1">
        <f t="shared" ref="N34" si="32">SUM(N28:N33)</f>
        <v>220</v>
      </c>
      <c r="O34" s="1">
        <f t="shared" ref="O34" si="33">SUM(O28:O33)</f>
        <v>212</v>
      </c>
      <c r="P34" s="1">
        <f t="shared" ref="P34" si="34">SUM(P28:P33)</f>
        <v>229</v>
      </c>
      <c r="Q34" s="1">
        <f t="shared" ref="Q34" si="35">SUM(Q28:Q33)</f>
        <v>260</v>
      </c>
      <c r="R34" s="1">
        <f t="shared" ref="R34" si="36">SUM(R28:R33)</f>
        <v>253</v>
      </c>
      <c r="S34" s="1">
        <f t="shared" ref="S34" si="37">SUM(S28:S33)</f>
        <v>275</v>
      </c>
      <c r="T34" s="1">
        <f t="shared" ref="T34" si="38">SUM(T28:T33)</f>
        <v>241</v>
      </c>
      <c r="U34" s="1">
        <f t="shared" ref="U34" si="39">SUM(U28:U33)</f>
        <v>229</v>
      </c>
      <c r="V34" s="1">
        <f t="shared" ref="V34" si="40">SUM(V28:V33)</f>
        <v>233</v>
      </c>
      <c r="W34" s="1">
        <f t="shared" ref="W34" si="41">SUM(W28:W33)</f>
        <v>205</v>
      </c>
      <c r="X34" s="1">
        <f t="shared" ref="X34" si="42">SUM(X28:X33)</f>
        <v>212</v>
      </c>
      <c r="Y34" s="1">
        <f t="shared" ref="Y34" si="43">SUM(Y28:Y33)</f>
        <v>195</v>
      </c>
      <c r="Z34" s="1">
        <f t="shared" ref="Z34" si="44">SUM(Z28:Z33)</f>
        <v>0</v>
      </c>
      <c r="AA34" s="1">
        <f t="shared" ref="AA34" si="45">SUM(AA28:AA33)</f>
        <v>80</v>
      </c>
      <c r="AB34" s="1">
        <f t="shared" ref="AB34" si="46">SUM(AB28:AB33)</f>
        <v>0</v>
      </c>
      <c r="AC34" s="1">
        <f t="shared" ref="AC34" si="47">SUM(AC28:AC33)</f>
        <v>117</v>
      </c>
      <c r="AD34" s="1">
        <f t="shared" ref="AD34" si="48">SUM(AD28:AD33)</f>
        <v>108</v>
      </c>
      <c r="AE34" s="1">
        <f t="shared" ref="AE34" si="49">SUM(AE28:AE33)</f>
        <v>111</v>
      </c>
      <c r="AF34" s="1">
        <f t="shared" ref="AF34" si="50">SUM(AF28:AF33)</f>
        <v>89</v>
      </c>
      <c r="AG34" s="1">
        <f t="shared" ref="AG34" si="51">SUM(AG28:AG33)</f>
        <v>80</v>
      </c>
      <c r="AH34" s="1">
        <f t="shared" ref="AH34" si="52">SUM(AH28:AH33)</f>
        <v>39</v>
      </c>
      <c r="AI34" s="1">
        <f t="shared" ref="AI34" si="53">SUM(AI28:AI33)</f>
        <v>63</v>
      </c>
      <c r="AJ34" s="1">
        <f t="shared" ref="AJ34" si="54">SUM(AJ28:AJ33)</f>
        <v>65</v>
      </c>
      <c r="AK34" s="1">
        <f t="shared" ref="AK34" si="55">SUM(AK28:AK33)</f>
        <v>64</v>
      </c>
      <c r="AL34" s="1">
        <f t="shared" ref="AL34" si="56">SUM(AL28:AL33)</f>
        <v>51</v>
      </c>
      <c r="AM34" s="1">
        <f t="shared" ref="AM34" si="57">SUM(AM28:AM33)</f>
        <v>41</v>
      </c>
      <c r="AN34" s="1">
        <f t="shared" ref="AN34" si="58">SUM(AN28:AN33)</f>
        <v>3</v>
      </c>
      <c r="AO34" s="1">
        <f t="shared" ref="AO34:AP34" si="59">SUM(AO28:AO33)</f>
        <v>1</v>
      </c>
      <c r="AP34" s="1">
        <f t="shared" si="59"/>
        <v>0</v>
      </c>
      <c r="AR34" s="1">
        <f t="shared" si="16"/>
        <v>6902</v>
      </c>
      <c r="AS34" s="1">
        <f t="shared" si="17"/>
        <v>6070</v>
      </c>
      <c r="AT34" s="1">
        <f t="shared" si="18"/>
        <v>832</v>
      </c>
    </row>
    <row r="36" spans="1:46" s="2" customFormat="1">
      <c r="A36" s="1" t="s">
        <v>20</v>
      </c>
      <c r="B36" s="2">
        <v>1986</v>
      </c>
      <c r="C36" s="2">
        <v>1987</v>
      </c>
      <c r="D36" s="2">
        <v>1988</v>
      </c>
      <c r="E36" s="2">
        <v>1989</v>
      </c>
      <c r="F36" s="2">
        <v>1990</v>
      </c>
      <c r="G36" s="2">
        <v>1991</v>
      </c>
      <c r="H36" s="2">
        <v>1992</v>
      </c>
      <c r="I36" s="2">
        <v>1993</v>
      </c>
      <c r="J36" s="2">
        <v>1994</v>
      </c>
      <c r="K36" s="2">
        <v>1995</v>
      </c>
      <c r="L36" s="2">
        <v>1996</v>
      </c>
      <c r="M36" s="2">
        <v>1997</v>
      </c>
      <c r="N36" s="2">
        <v>1998</v>
      </c>
      <c r="O36" s="2">
        <v>1999</v>
      </c>
      <c r="P36" s="2">
        <v>2000</v>
      </c>
      <c r="Q36" s="2">
        <v>2001</v>
      </c>
      <c r="R36" s="2">
        <v>2002</v>
      </c>
      <c r="S36" s="2">
        <v>2003</v>
      </c>
      <c r="T36" s="2">
        <v>2004</v>
      </c>
      <c r="U36" s="2">
        <v>2005</v>
      </c>
      <c r="V36" s="2">
        <v>2006</v>
      </c>
      <c r="W36" s="2">
        <v>2007</v>
      </c>
      <c r="X36" s="2">
        <v>2008</v>
      </c>
      <c r="Y36" s="2">
        <v>2009</v>
      </c>
      <c r="Z36" s="2">
        <v>2010</v>
      </c>
      <c r="AA36" s="2">
        <v>2011</v>
      </c>
      <c r="AB36" s="2">
        <v>2012</v>
      </c>
      <c r="AC36" s="2">
        <v>2013</v>
      </c>
      <c r="AD36" s="2">
        <v>2014</v>
      </c>
      <c r="AE36" s="2">
        <v>2015</v>
      </c>
      <c r="AF36" s="2">
        <v>2016</v>
      </c>
      <c r="AG36" s="2">
        <v>2017</v>
      </c>
      <c r="AH36" s="2">
        <v>2018</v>
      </c>
      <c r="AI36" s="2">
        <v>2019</v>
      </c>
      <c r="AJ36" s="2">
        <v>2020</v>
      </c>
      <c r="AK36" s="2">
        <v>2021</v>
      </c>
      <c r="AL36" s="2">
        <v>2022</v>
      </c>
      <c r="AM36" s="2">
        <v>2023</v>
      </c>
      <c r="AN36" s="2">
        <v>2024</v>
      </c>
      <c r="AO36" s="2">
        <v>2025</v>
      </c>
      <c r="AP36" s="2">
        <v>2026</v>
      </c>
      <c r="AR36" s="2" t="s">
        <v>15</v>
      </c>
      <c r="AS36" s="2" t="s">
        <v>17</v>
      </c>
      <c r="AT36" s="2" t="s">
        <v>18</v>
      </c>
    </row>
    <row r="37" spans="1:46">
      <c r="A37" t="s">
        <v>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29</v>
      </c>
      <c r="AH37">
        <v>37</v>
      </c>
      <c r="AI37">
        <v>37</v>
      </c>
      <c r="AJ37">
        <v>37</v>
      </c>
      <c r="AK37">
        <v>37</v>
      </c>
      <c r="AL37">
        <v>37</v>
      </c>
      <c r="AM37">
        <v>37</v>
      </c>
      <c r="AN37">
        <v>37</v>
      </c>
      <c r="AO37">
        <v>31</v>
      </c>
      <c r="AP37">
        <v>30</v>
      </c>
      <c r="AR37">
        <f>SUM(B37:AQ37)</f>
        <v>349</v>
      </c>
      <c r="AS37">
        <f>SUM(B37:AA37)</f>
        <v>0</v>
      </c>
      <c r="AT37">
        <f>SUM(AB37:AP37)</f>
        <v>349</v>
      </c>
    </row>
    <row r="38" spans="1:46">
      <c r="A38" t="s">
        <v>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7</v>
      </c>
      <c r="Z38">
        <v>0</v>
      </c>
      <c r="AA38">
        <v>5</v>
      </c>
      <c r="AB38">
        <v>0</v>
      </c>
      <c r="AC38">
        <v>1</v>
      </c>
      <c r="AD38">
        <v>21</v>
      </c>
      <c r="AE38">
        <v>10</v>
      </c>
      <c r="AF38">
        <v>10</v>
      </c>
      <c r="AG38">
        <v>10</v>
      </c>
      <c r="AH38">
        <v>10</v>
      </c>
      <c r="AI38">
        <v>8</v>
      </c>
      <c r="AJ38">
        <v>8</v>
      </c>
      <c r="AK38">
        <v>6</v>
      </c>
      <c r="AL38">
        <v>6</v>
      </c>
      <c r="AM38">
        <v>7</v>
      </c>
      <c r="AN38">
        <v>6</v>
      </c>
      <c r="AO38">
        <v>10</v>
      </c>
      <c r="AP38">
        <v>10</v>
      </c>
      <c r="AR38">
        <f t="shared" ref="AR38:AR43" si="60">SUM(B38:AQ38)</f>
        <v>135</v>
      </c>
      <c r="AS38">
        <f t="shared" ref="AS38:AS43" si="61">SUM(B38:AA38)</f>
        <v>12</v>
      </c>
      <c r="AT38">
        <f t="shared" ref="AT38:AT43" si="62">SUM(AB38:AP38)</f>
        <v>123</v>
      </c>
    </row>
    <row r="39" spans="1:46">
      <c r="A39" t="s">
        <v>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5</v>
      </c>
      <c r="AD39">
        <v>1</v>
      </c>
      <c r="AE39">
        <v>0</v>
      </c>
      <c r="AF39">
        <v>2</v>
      </c>
      <c r="AG39">
        <v>0</v>
      </c>
      <c r="AH39">
        <v>5</v>
      </c>
      <c r="AI39">
        <v>10</v>
      </c>
      <c r="AJ39">
        <v>10</v>
      </c>
      <c r="AK39">
        <v>10</v>
      </c>
      <c r="AL39">
        <v>10</v>
      </c>
      <c r="AM39">
        <v>10</v>
      </c>
      <c r="AN39">
        <v>10</v>
      </c>
      <c r="AO39">
        <v>10</v>
      </c>
      <c r="AP39">
        <v>10</v>
      </c>
      <c r="AR39">
        <f t="shared" si="60"/>
        <v>93</v>
      </c>
      <c r="AS39">
        <f t="shared" si="61"/>
        <v>0</v>
      </c>
      <c r="AT39">
        <f t="shared" si="62"/>
        <v>93</v>
      </c>
    </row>
    <row r="40" spans="1:46">
      <c r="A40" t="s">
        <v>11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11</v>
      </c>
      <c r="AN40">
        <v>27</v>
      </c>
      <c r="AO40">
        <v>30</v>
      </c>
      <c r="AP40">
        <v>30</v>
      </c>
      <c r="AR40">
        <f t="shared" si="60"/>
        <v>98</v>
      </c>
      <c r="AS40">
        <f t="shared" si="61"/>
        <v>0</v>
      </c>
      <c r="AT40">
        <f t="shared" si="62"/>
        <v>98</v>
      </c>
    </row>
    <row r="41" spans="1:46">
      <c r="A41" t="s">
        <v>12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4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2</v>
      </c>
      <c r="AF41">
        <v>20</v>
      </c>
      <c r="AG41">
        <v>4</v>
      </c>
      <c r="AH41">
        <v>29</v>
      </c>
      <c r="AI41">
        <v>1</v>
      </c>
      <c r="AJ41">
        <v>0</v>
      </c>
      <c r="AK41">
        <v>1</v>
      </c>
      <c r="AL41">
        <v>14</v>
      </c>
      <c r="AM41">
        <v>11</v>
      </c>
      <c r="AN41">
        <v>33</v>
      </c>
      <c r="AO41">
        <v>33</v>
      </c>
      <c r="AP41">
        <v>33</v>
      </c>
      <c r="AR41">
        <f t="shared" si="60"/>
        <v>186</v>
      </c>
      <c r="AS41">
        <f t="shared" si="61"/>
        <v>5</v>
      </c>
      <c r="AT41">
        <f t="shared" si="62"/>
        <v>181</v>
      </c>
    </row>
    <row r="42" spans="1:46">
      <c r="A42" t="s">
        <v>13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7</v>
      </c>
      <c r="AE42">
        <v>17</v>
      </c>
      <c r="AF42">
        <v>9</v>
      </c>
      <c r="AG42">
        <v>7</v>
      </c>
      <c r="AH42">
        <v>10</v>
      </c>
      <c r="AI42">
        <v>11</v>
      </c>
      <c r="AJ42">
        <v>10</v>
      </c>
      <c r="AK42">
        <v>12</v>
      </c>
      <c r="AL42">
        <v>12</v>
      </c>
      <c r="AM42">
        <v>13</v>
      </c>
      <c r="AN42">
        <v>14</v>
      </c>
      <c r="AO42">
        <v>15</v>
      </c>
      <c r="AP42">
        <v>17</v>
      </c>
      <c r="AR42">
        <f t="shared" si="60"/>
        <v>154</v>
      </c>
      <c r="AS42">
        <f t="shared" si="61"/>
        <v>0</v>
      </c>
      <c r="AT42">
        <f t="shared" si="62"/>
        <v>154</v>
      </c>
    </row>
    <row r="43" spans="1:46" s="1" customFormat="1">
      <c r="A43" s="1" t="s">
        <v>15</v>
      </c>
      <c r="B43" s="1">
        <f>SUM(B37:B42)</f>
        <v>0</v>
      </c>
      <c r="C43" s="1">
        <f t="shared" ref="C43:AA43" si="63">SUM(C37:C42)</f>
        <v>0</v>
      </c>
      <c r="D43" s="1">
        <f t="shared" si="63"/>
        <v>0</v>
      </c>
      <c r="E43" s="1">
        <f t="shared" si="63"/>
        <v>0</v>
      </c>
      <c r="F43" s="1">
        <f t="shared" si="63"/>
        <v>0</v>
      </c>
      <c r="G43" s="1">
        <f t="shared" si="63"/>
        <v>0</v>
      </c>
      <c r="H43" s="1">
        <f t="shared" si="63"/>
        <v>0</v>
      </c>
      <c r="I43" s="1">
        <f t="shared" si="63"/>
        <v>0</v>
      </c>
      <c r="J43" s="1">
        <f t="shared" si="63"/>
        <v>0</v>
      </c>
      <c r="K43" s="1">
        <f t="shared" si="63"/>
        <v>0</v>
      </c>
      <c r="L43" s="1">
        <f t="shared" si="63"/>
        <v>0</v>
      </c>
      <c r="M43" s="1">
        <f t="shared" si="63"/>
        <v>0</v>
      </c>
      <c r="N43" s="1">
        <f t="shared" si="63"/>
        <v>0</v>
      </c>
      <c r="O43" s="1">
        <f t="shared" si="63"/>
        <v>0</v>
      </c>
      <c r="P43" s="1">
        <f t="shared" si="63"/>
        <v>0</v>
      </c>
      <c r="Q43" s="1">
        <f t="shared" si="63"/>
        <v>0</v>
      </c>
      <c r="R43" s="1">
        <f t="shared" si="63"/>
        <v>0</v>
      </c>
      <c r="S43" s="1">
        <f t="shared" si="63"/>
        <v>0</v>
      </c>
      <c r="T43" s="1">
        <f t="shared" si="63"/>
        <v>0</v>
      </c>
      <c r="U43" s="1">
        <f t="shared" si="63"/>
        <v>0</v>
      </c>
      <c r="V43" s="1">
        <f t="shared" si="63"/>
        <v>0</v>
      </c>
      <c r="W43" s="1">
        <f t="shared" si="63"/>
        <v>0</v>
      </c>
      <c r="X43" s="1">
        <f t="shared" si="63"/>
        <v>0</v>
      </c>
      <c r="Y43" s="1">
        <f t="shared" si="63"/>
        <v>11</v>
      </c>
      <c r="Z43" s="1">
        <f t="shared" si="63"/>
        <v>0</v>
      </c>
      <c r="AA43" s="1">
        <f t="shared" si="63"/>
        <v>6</v>
      </c>
      <c r="AB43" s="1">
        <v>0</v>
      </c>
      <c r="AC43" s="1">
        <f>SUM(AC37:AC42)</f>
        <v>13</v>
      </c>
      <c r="AD43" s="1">
        <f t="shared" ref="AD43:AP43" si="64">SUM(AD37:AD42)</f>
        <v>22</v>
      </c>
      <c r="AE43" s="1">
        <f t="shared" si="64"/>
        <v>29</v>
      </c>
      <c r="AF43" s="1">
        <f t="shared" si="64"/>
        <v>41</v>
      </c>
      <c r="AG43" s="1">
        <f t="shared" si="64"/>
        <v>50</v>
      </c>
      <c r="AH43" s="1">
        <f t="shared" si="64"/>
        <v>91</v>
      </c>
      <c r="AI43" s="1">
        <f t="shared" si="64"/>
        <v>67</v>
      </c>
      <c r="AJ43" s="1">
        <f t="shared" si="64"/>
        <v>65</v>
      </c>
      <c r="AK43" s="1">
        <f t="shared" si="64"/>
        <v>66</v>
      </c>
      <c r="AL43" s="1">
        <f t="shared" si="64"/>
        <v>79</v>
      </c>
      <c r="AM43" s="1">
        <f t="shared" si="64"/>
        <v>89</v>
      </c>
      <c r="AN43" s="1">
        <f t="shared" si="64"/>
        <v>127</v>
      </c>
      <c r="AO43" s="1">
        <f t="shared" si="64"/>
        <v>129</v>
      </c>
      <c r="AP43" s="1">
        <f t="shared" si="64"/>
        <v>130</v>
      </c>
      <c r="AR43" s="1">
        <f t="shared" si="60"/>
        <v>1015</v>
      </c>
      <c r="AS43" s="1">
        <f t="shared" si="61"/>
        <v>17</v>
      </c>
      <c r="AT43" s="1">
        <f t="shared" si="62"/>
        <v>998</v>
      </c>
    </row>
    <row r="46" spans="1:46" s="2" customFormat="1">
      <c r="A46" s="2" t="s">
        <v>21</v>
      </c>
      <c r="B46" s="2">
        <v>1986</v>
      </c>
      <c r="C46" s="2">
        <v>1987</v>
      </c>
      <c r="D46" s="2">
        <v>1988</v>
      </c>
      <c r="E46" s="2">
        <v>1989</v>
      </c>
      <c r="F46" s="2">
        <v>1990</v>
      </c>
      <c r="G46" s="2">
        <v>1991</v>
      </c>
      <c r="H46" s="2">
        <v>1992</v>
      </c>
      <c r="I46" s="2">
        <v>1993</v>
      </c>
      <c r="J46" s="2">
        <v>1994</v>
      </c>
      <c r="K46" s="2">
        <v>1995</v>
      </c>
      <c r="L46" s="2">
        <v>1996</v>
      </c>
      <c r="M46" s="2">
        <v>1997</v>
      </c>
      <c r="N46" s="2">
        <v>1998</v>
      </c>
      <c r="O46" s="2">
        <v>1999</v>
      </c>
      <c r="P46" s="2">
        <v>2000</v>
      </c>
      <c r="Q46" s="2">
        <v>2001</v>
      </c>
      <c r="R46" s="2">
        <v>2002</v>
      </c>
      <c r="S46" s="2">
        <v>2003</v>
      </c>
      <c r="T46" s="2">
        <v>2004</v>
      </c>
      <c r="U46" s="2">
        <v>2005</v>
      </c>
      <c r="V46" s="2">
        <v>2006</v>
      </c>
      <c r="W46" s="2">
        <v>2007</v>
      </c>
      <c r="X46" s="2">
        <v>2008</v>
      </c>
      <c r="Y46" s="2">
        <v>2009</v>
      </c>
      <c r="Z46" s="2">
        <v>2010</v>
      </c>
      <c r="AA46" s="2">
        <v>2011</v>
      </c>
      <c r="AB46" s="2">
        <v>2012</v>
      </c>
      <c r="AC46" s="2">
        <v>2013</v>
      </c>
      <c r="AD46" s="2">
        <v>2014</v>
      </c>
      <c r="AE46" s="2">
        <v>2015</v>
      </c>
      <c r="AF46" s="2">
        <v>2016</v>
      </c>
      <c r="AG46" s="2">
        <v>2017</v>
      </c>
      <c r="AH46" s="2">
        <v>2018</v>
      </c>
      <c r="AI46" s="2">
        <v>2019</v>
      </c>
      <c r="AJ46" s="2">
        <v>2020</v>
      </c>
      <c r="AK46" s="2">
        <v>2021</v>
      </c>
      <c r="AL46" s="2">
        <v>2022</v>
      </c>
      <c r="AM46" s="2">
        <v>2023</v>
      </c>
      <c r="AN46" s="2">
        <v>2024</v>
      </c>
      <c r="AO46" s="2">
        <v>2025</v>
      </c>
      <c r="AP46" s="2">
        <v>2026</v>
      </c>
      <c r="AR46"/>
      <c r="AS46"/>
      <c r="AT46"/>
    </row>
    <row r="47" spans="1:46">
      <c r="A47" t="s">
        <v>22</v>
      </c>
      <c r="B47" s="9">
        <f>6087-B25</f>
        <v>5787</v>
      </c>
      <c r="C47" s="9">
        <f t="shared" ref="C47:AA47" si="65">B47-C25</f>
        <v>5497</v>
      </c>
      <c r="D47" s="9">
        <f t="shared" si="65"/>
        <v>5199</v>
      </c>
      <c r="E47" s="9">
        <f t="shared" si="65"/>
        <v>5035</v>
      </c>
      <c r="F47" s="9">
        <f t="shared" si="65"/>
        <v>4734</v>
      </c>
      <c r="G47" s="9">
        <f t="shared" si="65"/>
        <v>4434</v>
      </c>
      <c r="H47" s="9">
        <f t="shared" si="65"/>
        <v>4149</v>
      </c>
      <c r="I47" s="9">
        <f t="shared" si="65"/>
        <v>3885</v>
      </c>
      <c r="J47" s="9">
        <f t="shared" si="65"/>
        <v>3653</v>
      </c>
      <c r="K47" s="9">
        <f t="shared" si="65"/>
        <v>3396</v>
      </c>
      <c r="L47" s="9">
        <f t="shared" si="65"/>
        <v>3096</v>
      </c>
      <c r="M47" s="9">
        <f t="shared" si="65"/>
        <v>2861</v>
      </c>
      <c r="N47" s="9">
        <f t="shared" si="65"/>
        <v>2641</v>
      </c>
      <c r="O47" s="9">
        <f t="shared" si="65"/>
        <v>2429</v>
      </c>
      <c r="P47" s="9">
        <f t="shared" si="65"/>
        <v>2200</v>
      </c>
      <c r="Q47" s="9">
        <f t="shared" si="65"/>
        <v>1940</v>
      </c>
      <c r="R47" s="9">
        <f t="shared" si="65"/>
        <v>1687</v>
      </c>
      <c r="S47" s="9">
        <f t="shared" si="65"/>
        <v>1412</v>
      </c>
      <c r="T47" s="9">
        <f t="shared" si="65"/>
        <v>1171</v>
      </c>
      <c r="U47" s="9">
        <f t="shared" si="65"/>
        <v>942</v>
      </c>
      <c r="V47" s="9">
        <f t="shared" si="65"/>
        <v>709</v>
      </c>
      <c r="W47" s="9">
        <f t="shared" si="65"/>
        <v>504</v>
      </c>
      <c r="X47" s="9">
        <f t="shared" si="65"/>
        <v>292</v>
      </c>
      <c r="Y47" s="9">
        <f t="shared" si="65"/>
        <v>86</v>
      </c>
      <c r="Z47" s="9">
        <f t="shared" si="65"/>
        <v>86</v>
      </c>
      <c r="AA47" s="9">
        <f t="shared" si="65"/>
        <v>0</v>
      </c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6">
      <c r="A48" t="s">
        <v>23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>
        <v>2600</v>
      </c>
      <c r="AC48" s="9">
        <f t="shared" ref="AC48:AP48" si="66">AB48-AC25</f>
        <v>2470</v>
      </c>
      <c r="AD48" s="9">
        <f t="shared" si="66"/>
        <v>2340</v>
      </c>
      <c r="AE48" s="9">
        <f t="shared" si="66"/>
        <v>2200</v>
      </c>
      <c r="AF48" s="9">
        <f t="shared" si="66"/>
        <v>2070</v>
      </c>
      <c r="AG48" s="9">
        <f t="shared" si="66"/>
        <v>1940</v>
      </c>
      <c r="AH48" s="9">
        <f t="shared" si="66"/>
        <v>1810</v>
      </c>
      <c r="AI48" s="9">
        <f t="shared" si="66"/>
        <v>1680</v>
      </c>
      <c r="AJ48" s="9">
        <f t="shared" si="66"/>
        <v>1550</v>
      </c>
      <c r="AK48" s="9">
        <f t="shared" si="66"/>
        <v>1420</v>
      </c>
      <c r="AL48" s="9">
        <f t="shared" si="66"/>
        <v>1290</v>
      </c>
      <c r="AM48" s="9">
        <f t="shared" si="66"/>
        <v>1160</v>
      </c>
      <c r="AN48" s="9">
        <f t="shared" si="66"/>
        <v>1030</v>
      </c>
      <c r="AO48" s="9">
        <f t="shared" si="66"/>
        <v>900</v>
      </c>
      <c r="AP48" s="9">
        <f t="shared" si="66"/>
        <v>770</v>
      </c>
    </row>
    <row r="51" spans="1:1">
      <c r="A51" t="s">
        <v>24</v>
      </c>
    </row>
    <row r="52" spans="1:1">
      <c r="A52" t="s">
        <v>25</v>
      </c>
    </row>
    <row r="53" spans="1:1">
      <c r="A53" t="s">
        <v>26</v>
      </c>
    </row>
    <row r="54" spans="1:1">
      <c r="A54" s="7" t="s">
        <v>27</v>
      </c>
    </row>
    <row r="55" spans="1:1">
      <c r="A55" s="7" t="s">
        <v>28</v>
      </c>
    </row>
  </sheetData>
  <hyperlinks>
    <hyperlink ref="A54" r:id="rId1" xr:uid="{8BE4181B-DFFC-487A-96FD-E854DB631E63}"/>
    <hyperlink ref="A55" r:id="rId2" xr:uid="{DFC57EBF-7876-4DBE-97BD-F83AC0C2BAF0}"/>
  </hyperlinks>
  <pageMargins left="0.7" right="0.7" top="0.75" bottom="0.75" header="0.3" footer="0.3"/>
  <pageSetup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4F210-CB19-4277-95DE-1CC07A744E3A}">
  <dimension ref="A1:H39"/>
  <sheetViews>
    <sheetView workbookViewId="0">
      <selection activeCell="K22" sqref="K22"/>
    </sheetView>
  </sheetViews>
  <sheetFormatPr defaultRowHeight="12.75"/>
  <cols>
    <col min="2" max="2" width="30.5703125" bestFit="1" customWidth="1"/>
    <col min="3" max="3" width="19.85546875" bestFit="1" customWidth="1"/>
    <col min="4" max="4" width="11.28515625" bestFit="1" customWidth="1"/>
    <col min="5" max="5" width="16.85546875" bestFit="1" customWidth="1"/>
    <col min="7" max="8" width="11.140625" bestFit="1" customWidth="1"/>
  </cols>
  <sheetData>
    <row r="1" spans="1:5" ht="15">
      <c r="A1" s="6" t="s">
        <v>29</v>
      </c>
      <c r="C1" s="2"/>
      <c r="D1" s="2"/>
      <c r="E1" s="2"/>
    </row>
    <row r="2" spans="1:5">
      <c r="A2" t="s">
        <v>1</v>
      </c>
      <c r="C2" s="2"/>
      <c r="D2" s="2"/>
      <c r="E2" s="2"/>
    </row>
    <row r="3" spans="1:5">
      <c r="B3" s="2"/>
      <c r="C3" s="2"/>
      <c r="D3" s="2"/>
      <c r="E3" s="2"/>
    </row>
    <row r="4" spans="1:5">
      <c r="B4" s="2"/>
      <c r="C4" s="2"/>
      <c r="D4" s="2"/>
      <c r="E4" s="2"/>
    </row>
    <row r="5" spans="1:5">
      <c r="A5" s="5"/>
      <c r="B5" s="5"/>
      <c r="C5" s="4" t="s">
        <v>4</v>
      </c>
      <c r="D5" s="4" t="s">
        <v>5</v>
      </c>
      <c r="E5" s="4" t="s">
        <v>6</v>
      </c>
    </row>
    <row r="6" spans="1:5">
      <c r="A6" s="3" t="s">
        <v>30</v>
      </c>
      <c r="B6" s="5"/>
      <c r="C6" s="8">
        <f>E37</f>
        <v>2000</v>
      </c>
      <c r="D6" s="8">
        <f>G37</f>
        <v>740</v>
      </c>
      <c r="E6" s="8">
        <f>H37</f>
        <v>1260</v>
      </c>
    </row>
    <row r="7" spans="1:5">
      <c r="A7" s="5"/>
      <c r="B7" s="5"/>
      <c r="C7" s="8"/>
      <c r="D7" s="8"/>
      <c r="E7" s="8"/>
    </row>
    <row r="8" spans="1:5">
      <c r="A8" s="3" t="s">
        <v>31</v>
      </c>
      <c r="B8" s="5"/>
      <c r="C8" s="8"/>
      <c r="D8" s="8"/>
      <c r="E8" s="8"/>
    </row>
    <row r="9" spans="1:5">
      <c r="A9" s="5"/>
      <c r="B9" s="5" t="s">
        <v>8</v>
      </c>
      <c r="C9" s="8">
        <f>E29</f>
        <v>90</v>
      </c>
      <c r="D9" s="8">
        <f>G29</f>
        <v>41</v>
      </c>
      <c r="E9" s="8">
        <f>H29</f>
        <v>49</v>
      </c>
    </row>
    <row r="10" spans="1:5">
      <c r="A10" s="5"/>
      <c r="B10" s="5" t="s">
        <v>9</v>
      </c>
      <c r="C10" s="8">
        <f>E30</f>
        <v>180</v>
      </c>
      <c r="D10" s="8">
        <f t="shared" ref="D10:E10" si="0">G30</f>
        <v>116</v>
      </c>
      <c r="E10" s="8">
        <f t="shared" si="0"/>
        <v>64</v>
      </c>
    </row>
    <row r="11" spans="1:5">
      <c r="A11" s="5"/>
      <c r="B11" s="5" t="s">
        <v>10</v>
      </c>
      <c r="C11" s="8">
        <f>E31</f>
        <v>130</v>
      </c>
      <c r="D11" s="8">
        <f t="shared" ref="D11:E11" si="1">G31</f>
        <v>67</v>
      </c>
      <c r="E11" s="8">
        <f t="shared" si="1"/>
        <v>63</v>
      </c>
    </row>
    <row r="12" spans="1:5">
      <c r="A12" s="5"/>
      <c r="B12" s="5" t="s">
        <v>11</v>
      </c>
      <c r="C12" s="8">
        <f>E32</f>
        <v>0</v>
      </c>
      <c r="D12" s="8">
        <f t="shared" ref="D12:E12" si="2">G32</f>
        <v>0</v>
      </c>
      <c r="E12" s="8">
        <f t="shared" si="2"/>
        <v>0</v>
      </c>
    </row>
    <row r="13" spans="1:5">
      <c r="A13" s="5"/>
      <c r="B13" s="5" t="s">
        <v>12</v>
      </c>
      <c r="C13" s="8">
        <f>E33</f>
        <v>165</v>
      </c>
      <c r="D13" s="8">
        <f t="shared" ref="D13:E13" si="3">G33</f>
        <v>14</v>
      </c>
      <c r="E13" s="8">
        <f t="shared" si="3"/>
        <v>151</v>
      </c>
    </row>
    <row r="14" spans="1:5">
      <c r="A14" s="5"/>
      <c r="B14" s="5"/>
      <c r="C14" s="8"/>
      <c r="D14" s="8"/>
      <c r="E14" s="8"/>
    </row>
    <row r="15" spans="1:5">
      <c r="A15" s="3" t="s">
        <v>32</v>
      </c>
      <c r="B15" s="5"/>
      <c r="C15" s="8"/>
      <c r="D15" s="8"/>
      <c r="E15" s="8"/>
    </row>
    <row r="16" spans="1:5">
      <c r="A16" s="5"/>
      <c r="B16" s="5" t="s">
        <v>33</v>
      </c>
      <c r="C16" s="8">
        <f t="shared" ref="C16" si="4">E36</f>
        <v>1435</v>
      </c>
      <c r="D16" s="8">
        <f t="shared" ref="D16:E16" si="5">G36</f>
        <v>502</v>
      </c>
      <c r="E16" s="8">
        <f t="shared" si="5"/>
        <v>933</v>
      </c>
    </row>
    <row r="17" spans="1:8">
      <c r="A17" s="3" t="s">
        <v>15</v>
      </c>
      <c r="B17" s="5"/>
      <c r="C17" s="8">
        <f>SUM(C9:C16)</f>
        <v>2000</v>
      </c>
      <c r="D17" s="8">
        <f t="shared" ref="D17:E17" si="6">SUM(D9:D16)</f>
        <v>740</v>
      </c>
      <c r="E17" s="8">
        <f t="shared" si="6"/>
        <v>1260</v>
      </c>
    </row>
    <row r="18" spans="1:8">
      <c r="A18" t="s">
        <v>34</v>
      </c>
      <c r="C18" s="9"/>
      <c r="D18" s="9"/>
      <c r="E18" s="9"/>
    </row>
    <row r="19" spans="1:8">
      <c r="A19" s="7" t="s">
        <v>35</v>
      </c>
      <c r="B19" s="7"/>
      <c r="C19" s="9"/>
      <c r="D19" s="9"/>
      <c r="E19" s="9"/>
    </row>
    <row r="20" spans="1:8">
      <c r="C20" s="9"/>
      <c r="D20" s="9"/>
      <c r="E20" s="9"/>
    </row>
    <row r="21" spans="1:8">
      <c r="C21" s="9"/>
      <c r="D21" s="9"/>
      <c r="E21" s="9"/>
    </row>
    <row r="22" spans="1:8">
      <c r="C22" s="9"/>
      <c r="D22" s="9"/>
      <c r="E22" s="9"/>
    </row>
    <row r="23" spans="1:8">
      <c r="C23" s="9"/>
      <c r="D23" s="9"/>
      <c r="E23" s="9"/>
    </row>
    <row r="24" spans="1:8">
      <c r="C24" s="9"/>
      <c r="D24" s="9"/>
      <c r="E24" s="9"/>
    </row>
    <row r="25" spans="1:8">
      <c r="C25" s="9"/>
      <c r="D25" s="9"/>
      <c r="E25" s="9"/>
    </row>
    <row r="26" spans="1:8">
      <c r="A26" s="3" t="s">
        <v>30</v>
      </c>
      <c r="B26" s="5"/>
      <c r="C26" s="8" t="s">
        <v>2</v>
      </c>
      <c r="D26" s="8" t="s">
        <v>36</v>
      </c>
      <c r="E26" s="8" t="s">
        <v>37</v>
      </c>
      <c r="G26" s="5" t="s">
        <v>5</v>
      </c>
      <c r="H26" s="5" t="s">
        <v>19</v>
      </c>
    </row>
    <row r="27" spans="1:8">
      <c r="A27" s="5"/>
      <c r="B27" s="5"/>
      <c r="C27" s="8"/>
      <c r="D27" s="8"/>
      <c r="E27" s="8"/>
      <c r="G27" s="5"/>
      <c r="H27" s="5"/>
    </row>
    <row r="28" spans="1:8">
      <c r="A28" s="3" t="s">
        <v>31</v>
      </c>
      <c r="B28" s="5"/>
      <c r="C28" s="8"/>
      <c r="D28" s="8"/>
      <c r="E28" s="8"/>
      <c r="G28" s="5"/>
      <c r="H28" s="5"/>
    </row>
    <row r="29" spans="1:8">
      <c r="A29" s="5"/>
      <c r="B29" s="5" t="s">
        <v>8</v>
      </c>
      <c r="C29" s="8">
        <v>90</v>
      </c>
      <c r="D29" s="8">
        <v>0</v>
      </c>
      <c r="E29" s="8">
        <f t="shared" ref="E29:E37" si="7">SUM(C29:D29)</f>
        <v>90</v>
      </c>
      <c r="G29" s="8">
        <v>41</v>
      </c>
      <c r="H29" s="8">
        <f>E29-G29</f>
        <v>49</v>
      </c>
    </row>
    <row r="30" spans="1:8">
      <c r="A30" s="5"/>
      <c r="B30" s="5" t="s">
        <v>9</v>
      </c>
      <c r="C30" s="8">
        <v>180</v>
      </c>
      <c r="D30" s="8">
        <v>0</v>
      </c>
      <c r="E30" s="8">
        <f t="shared" si="7"/>
        <v>180</v>
      </c>
      <c r="G30" s="8">
        <v>116</v>
      </c>
      <c r="H30" s="8">
        <f>E30-G30</f>
        <v>64</v>
      </c>
    </row>
    <row r="31" spans="1:8">
      <c r="A31" s="5"/>
      <c r="B31" s="5" t="s">
        <v>10</v>
      </c>
      <c r="C31" s="8">
        <v>130</v>
      </c>
      <c r="D31" s="8">
        <v>0</v>
      </c>
      <c r="E31" s="8">
        <f t="shared" si="7"/>
        <v>130</v>
      </c>
      <c r="G31" s="8">
        <v>67</v>
      </c>
      <c r="H31" s="8">
        <f>E31-G31</f>
        <v>63</v>
      </c>
    </row>
    <row r="32" spans="1:8">
      <c r="A32" s="5"/>
      <c r="B32" s="5" t="s">
        <v>11</v>
      </c>
      <c r="C32" s="8">
        <v>0</v>
      </c>
      <c r="D32" s="8">
        <v>0</v>
      </c>
      <c r="E32" s="8">
        <f t="shared" si="7"/>
        <v>0</v>
      </c>
      <c r="G32" s="8">
        <v>0</v>
      </c>
      <c r="H32" s="8">
        <f>E32-G32</f>
        <v>0</v>
      </c>
    </row>
    <row r="33" spans="1:8">
      <c r="A33" s="5"/>
      <c r="B33" s="5" t="s">
        <v>12</v>
      </c>
      <c r="C33" s="8">
        <v>165</v>
      </c>
      <c r="D33" s="8">
        <v>0</v>
      </c>
      <c r="E33" s="8">
        <f t="shared" si="7"/>
        <v>165</v>
      </c>
      <c r="G33" s="8">
        <v>14</v>
      </c>
      <c r="H33" s="8">
        <f>E33-G33</f>
        <v>151</v>
      </c>
    </row>
    <row r="34" spans="1:8">
      <c r="A34" s="5"/>
      <c r="B34" s="5"/>
      <c r="C34" s="8"/>
      <c r="D34" s="8"/>
      <c r="E34" s="8"/>
      <c r="G34" s="8"/>
      <c r="H34" s="8"/>
    </row>
    <row r="35" spans="1:8">
      <c r="A35" s="3" t="s">
        <v>38</v>
      </c>
      <c r="B35" s="5"/>
      <c r="C35" s="8"/>
      <c r="D35" s="8"/>
      <c r="E35" s="8"/>
      <c r="G35" s="8"/>
      <c r="H35" s="8"/>
    </row>
    <row r="36" spans="1:8">
      <c r="A36" s="5"/>
      <c r="B36" s="5" t="s">
        <v>39</v>
      </c>
      <c r="C36" s="8">
        <v>835</v>
      </c>
      <c r="D36" s="8">
        <v>600</v>
      </c>
      <c r="E36" s="8">
        <f t="shared" si="7"/>
        <v>1435</v>
      </c>
      <c r="G36" s="8">
        <v>502</v>
      </c>
      <c r="H36" s="8">
        <f>E36-G36</f>
        <v>933</v>
      </c>
    </row>
    <row r="37" spans="1:8">
      <c r="A37" s="5"/>
      <c r="B37" s="3" t="s">
        <v>15</v>
      </c>
      <c r="C37" s="8">
        <f>SUM(C29:C36)</f>
        <v>1400</v>
      </c>
      <c r="D37" s="8">
        <f>SUM(D29:D36)</f>
        <v>600</v>
      </c>
      <c r="E37" s="8">
        <f t="shared" si="7"/>
        <v>2000</v>
      </c>
      <c r="G37" s="8">
        <f>SUM(G29:G36)</f>
        <v>740</v>
      </c>
      <c r="H37" s="8">
        <f>E37-G37</f>
        <v>1260</v>
      </c>
    </row>
    <row r="38" spans="1:8">
      <c r="A38" t="s">
        <v>40</v>
      </c>
    </row>
    <row r="39" spans="1:8">
      <c r="A39" s="7" t="s">
        <v>35</v>
      </c>
      <c r="B39" s="7"/>
    </row>
  </sheetData>
  <hyperlinks>
    <hyperlink ref="A39" r:id="rId1" display="https://parcels.laketahoeinfo.org/DevelopmentRightPool/DevelopmentRightPoolBalanceReport " xr:uid="{81681255-0F67-4BD9-813B-1FCBB2EF02D1}"/>
    <hyperlink ref="A19" r:id="rId2" display="https://parcels.laketahoeinfo.org/DevelopmentRightPool/DevelopmentRightPoolBalanceReport " xr:uid="{C1DDA92E-315F-4980-B3E5-7C1289D39F0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4E8E-E757-4402-9EC5-25798E8AEC30}">
  <dimension ref="A1:H46"/>
  <sheetViews>
    <sheetView topLeftCell="A9" workbookViewId="0">
      <selection activeCell="L30" sqref="L30"/>
    </sheetView>
  </sheetViews>
  <sheetFormatPr defaultRowHeight="12.75"/>
  <cols>
    <col min="1" max="1" width="30.5703125" bestFit="1" customWidth="1"/>
    <col min="2" max="2" width="19.85546875" bestFit="1" customWidth="1"/>
    <col min="3" max="3" width="20.7109375" bestFit="1" customWidth="1"/>
    <col min="4" max="4" width="11.28515625" bestFit="1" customWidth="1"/>
    <col min="5" max="5" width="16.85546875" bestFit="1" customWidth="1"/>
    <col min="7" max="7" width="11.140625" bestFit="1" customWidth="1"/>
    <col min="8" max="8" width="8" bestFit="1" customWidth="1"/>
  </cols>
  <sheetData>
    <row r="1" spans="1:5" ht="15">
      <c r="A1" s="6" t="s">
        <v>41</v>
      </c>
    </row>
    <row r="2" spans="1:5">
      <c r="A2" t="s">
        <v>1</v>
      </c>
    </row>
    <row r="6" spans="1:5">
      <c r="A6" s="5"/>
      <c r="B6" s="5"/>
      <c r="C6" s="4" t="s">
        <v>42</v>
      </c>
      <c r="D6" s="4" t="s">
        <v>5</v>
      </c>
      <c r="E6" s="4" t="s">
        <v>6</v>
      </c>
    </row>
    <row r="7" spans="1:5">
      <c r="A7" s="3" t="s">
        <v>43</v>
      </c>
      <c r="B7" s="5"/>
      <c r="C7" s="8">
        <f>E44</f>
        <v>1000000</v>
      </c>
      <c r="D7" s="8">
        <f>G44</f>
        <v>488894</v>
      </c>
      <c r="E7" s="8">
        <f>H44</f>
        <v>511106</v>
      </c>
    </row>
    <row r="8" spans="1:5">
      <c r="A8" s="5"/>
      <c r="B8" s="5"/>
      <c r="C8" s="8"/>
      <c r="D8" s="8"/>
      <c r="E8" s="8"/>
    </row>
    <row r="9" spans="1:5">
      <c r="A9" s="3" t="s">
        <v>31</v>
      </c>
      <c r="B9" s="5"/>
      <c r="C9" s="8"/>
      <c r="D9" s="8"/>
      <c r="E9" s="8"/>
    </row>
    <row r="10" spans="1:5">
      <c r="A10" s="5"/>
      <c r="B10" s="5" t="s">
        <v>8</v>
      </c>
      <c r="C10" s="8">
        <f>E33</f>
        <v>201232</v>
      </c>
      <c r="D10" s="8">
        <f>G33</f>
        <v>69319</v>
      </c>
      <c r="E10" s="8">
        <f>H33</f>
        <v>131913</v>
      </c>
    </row>
    <row r="11" spans="1:5">
      <c r="A11" s="5"/>
      <c r="B11" s="5" t="s">
        <v>9</v>
      </c>
      <c r="C11" s="8">
        <f>E34</f>
        <v>89906</v>
      </c>
      <c r="D11" s="8">
        <f t="shared" ref="D11:E14" si="0">G34</f>
        <v>1800</v>
      </c>
      <c r="E11" s="8">
        <f t="shared" si="0"/>
        <v>88106</v>
      </c>
    </row>
    <row r="12" spans="1:5">
      <c r="A12" s="5"/>
      <c r="B12" s="5" t="s">
        <v>10</v>
      </c>
      <c r="C12" s="8">
        <f>E35</f>
        <v>81550</v>
      </c>
      <c r="D12" s="8">
        <f t="shared" si="0"/>
        <v>33520</v>
      </c>
      <c r="E12" s="8">
        <f t="shared" si="0"/>
        <v>48030</v>
      </c>
    </row>
    <row r="13" spans="1:5">
      <c r="A13" s="5"/>
      <c r="B13" s="5" t="s">
        <v>11</v>
      </c>
      <c r="C13" s="8">
        <f>E36</f>
        <v>51400</v>
      </c>
      <c r="D13" s="8">
        <f t="shared" si="0"/>
        <v>33395</v>
      </c>
      <c r="E13" s="8">
        <f t="shared" si="0"/>
        <v>18005</v>
      </c>
    </row>
    <row r="14" spans="1:5">
      <c r="A14" s="5"/>
      <c r="B14" s="5" t="s">
        <v>12</v>
      </c>
      <c r="C14" s="8">
        <f>E37</f>
        <v>130028</v>
      </c>
      <c r="D14" s="8">
        <f t="shared" si="0"/>
        <v>13669</v>
      </c>
      <c r="E14" s="8">
        <f t="shared" si="0"/>
        <v>116359</v>
      </c>
    </row>
    <row r="15" spans="1:5">
      <c r="A15" s="5"/>
      <c r="B15" s="5"/>
      <c r="C15" s="8"/>
      <c r="D15" s="8"/>
      <c r="E15" s="8"/>
    </row>
    <row r="16" spans="1:5">
      <c r="A16" s="3" t="s">
        <v>44</v>
      </c>
      <c r="B16" s="5"/>
      <c r="C16" s="8"/>
      <c r="D16" s="8"/>
      <c r="E16" s="8"/>
    </row>
    <row r="17" spans="1:8">
      <c r="A17" s="5"/>
      <c r="B17" s="5" t="s">
        <v>45</v>
      </c>
      <c r="C17" s="8">
        <f t="shared" ref="C17" si="1">E40</f>
        <v>245884</v>
      </c>
      <c r="D17" s="8">
        <f t="shared" ref="D17:E17" si="2">G40</f>
        <v>137191</v>
      </c>
      <c r="E17" s="8">
        <f t="shared" si="2"/>
        <v>108693</v>
      </c>
    </row>
    <row r="18" spans="1:8">
      <c r="A18" s="5"/>
      <c r="B18" s="5"/>
      <c r="C18" s="8"/>
      <c r="D18" s="8"/>
      <c r="E18" s="8"/>
    </row>
    <row r="19" spans="1:8">
      <c r="A19" s="3" t="s">
        <v>46</v>
      </c>
      <c r="B19" s="5"/>
      <c r="C19" s="8">
        <v>200000</v>
      </c>
      <c r="D19" s="8">
        <v>200000</v>
      </c>
      <c r="E19" s="10" t="s">
        <v>47</v>
      </c>
    </row>
    <row r="20" spans="1:8">
      <c r="A20" s="3"/>
      <c r="B20" s="5"/>
      <c r="C20" s="8"/>
      <c r="D20" s="8"/>
      <c r="E20" s="8"/>
    </row>
    <row r="21" spans="1:8">
      <c r="A21" s="3" t="s">
        <v>15</v>
      </c>
      <c r="B21" s="5"/>
      <c r="C21" s="8">
        <f>SUM(C10:C19)</f>
        <v>1000000</v>
      </c>
      <c r="D21" s="8">
        <f t="shared" ref="D21:E21" si="3">SUM(D10:D19)</f>
        <v>488894</v>
      </c>
      <c r="E21" s="8">
        <f t="shared" si="3"/>
        <v>511106</v>
      </c>
    </row>
    <row r="22" spans="1:8">
      <c r="A22" t="s">
        <v>48</v>
      </c>
      <c r="C22" s="9"/>
      <c r="D22" s="9"/>
      <c r="E22" s="9"/>
    </row>
    <row r="23" spans="1:8">
      <c r="A23" s="7" t="s">
        <v>35</v>
      </c>
      <c r="B23" s="7"/>
      <c r="C23" s="9"/>
      <c r="D23" s="9"/>
      <c r="E23" s="9"/>
    </row>
    <row r="24" spans="1:8">
      <c r="C24" s="9"/>
      <c r="D24" s="9"/>
      <c r="E24" s="9"/>
    </row>
    <row r="25" spans="1:8">
      <c r="C25" s="9"/>
      <c r="D25" s="9"/>
      <c r="E25" s="9"/>
    </row>
    <row r="26" spans="1:8">
      <c r="C26" s="9"/>
      <c r="D26" s="9"/>
      <c r="E26" s="9"/>
    </row>
    <row r="27" spans="1:8">
      <c r="C27" s="9"/>
      <c r="D27" s="9"/>
      <c r="E27" s="9"/>
    </row>
    <row r="28" spans="1:8">
      <c r="C28" s="9"/>
      <c r="D28" s="9"/>
      <c r="E28" s="9"/>
    </row>
    <row r="29" spans="1:8">
      <c r="C29" s="9"/>
      <c r="D29" s="9"/>
      <c r="E29" s="9"/>
    </row>
    <row r="30" spans="1:8">
      <c r="A30" s="3" t="s">
        <v>43</v>
      </c>
      <c r="B30" s="5"/>
      <c r="C30" s="8" t="s">
        <v>2</v>
      </c>
      <c r="D30" s="8" t="s">
        <v>36</v>
      </c>
      <c r="E30" s="8" t="s">
        <v>37</v>
      </c>
      <c r="G30" s="5" t="s">
        <v>5</v>
      </c>
      <c r="H30" s="5" t="s">
        <v>19</v>
      </c>
    </row>
    <row r="31" spans="1:8">
      <c r="A31" s="5"/>
      <c r="B31" s="5"/>
      <c r="C31" s="8"/>
      <c r="D31" s="8"/>
      <c r="E31" s="8"/>
      <c r="G31" s="5"/>
      <c r="H31" s="5"/>
    </row>
    <row r="32" spans="1:8">
      <c r="A32" s="3" t="s">
        <v>31</v>
      </c>
      <c r="B32" s="5"/>
      <c r="C32" s="8"/>
      <c r="D32" s="8"/>
      <c r="E32" s="8"/>
      <c r="G32" s="5"/>
      <c r="H32" s="5"/>
    </row>
    <row r="33" spans="1:8">
      <c r="A33" s="5"/>
      <c r="B33" s="5" t="s">
        <v>8</v>
      </c>
      <c r="C33" s="8">
        <v>201232</v>
      </c>
      <c r="D33" s="8">
        <v>0</v>
      </c>
      <c r="E33" s="8">
        <f>SUM(C33:D33)</f>
        <v>201232</v>
      </c>
      <c r="G33" s="8">
        <v>69319</v>
      </c>
      <c r="H33" s="8">
        <f>E33-G33</f>
        <v>131913</v>
      </c>
    </row>
    <row r="34" spans="1:8">
      <c r="A34" s="5"/>
      <c r="B34" s="5" t="s">
        <v>9</v>
      </c>
      <c r="C34" s="8">
        <v>89906</v>
      </c>
      <c r="D34" s="8">
        <v>0</v>
      </c>
      <c r="E34" s="8">
        <f t="shared" ref="E34:E44" si="4">SUM(C34:D34)</f>
        <v>89906</v>
      </c>
      <c r="G34" s="8">
        <v>1800</v>
      </c>
      <c r="H34" s="8">
        <f>E34-G34</f>
        <v>88106</v>
      </c>
    </row>
    <row r="35" spans="1:8">
      <c r="A35" s="5"/>
      <c r="B35" s="5" t="s">
        <v>10</v>
      </c>
      <c r="C35" s="8">
        <v>81550</v>
      </c>
      <c r="D35" s="8">
        <v>0</v>
      </c>
      <c r="E35" s="8">
        <f t="shared" si="4"/>
        <v>81550</v>
      </c>
      <c r="G35" s="8">
        <v>33520</v>
      </c>
      <c r="H35" s="8">
        <f>E35-G35</f>
        <v>48030</v>
      </c>
    </row>
    <row r="36" spans="1:8">
      <c r="A36" s="5"/>
      <c r="B36" s="5" t="s">
        <v>11</v>
      </c>
      <c r="C36" s="8">
        <v>51400</v>
      </c>
      <c r="D36" s="8">
        <v>0</v>
      </c>
      <c r="E36" s="8">
        <f t="shared" si="4"/>
        <v>51400</v>
      </c>
      <c r="G36" s="8">
        <v>33395</v>
      </c>
      <c r="H36" s="8">
        <f>E36-G36</f>
        <v>18005</v>
      </c>
    </row>
    <row r="37" spans="1:8">
      <c r="A37" s="5"/>
      <c r="B37" s="5" t="s">
        <v>12</v>
      </c>
      <c r="C37" s="8">
        <v>130028</v>
      </c>
      <c r="D37" s="8">
        <v>0</v>
      </c>
      <c r="E37" s="8">
        <f t="shared" si="4"/>
        <v>130028</v>
      </c>
      <c r="G37" s="8">
        <v>13669</v>
      </c>
      <c r="H37" s="8">
        <f>E37-G37</f>
        <v>116359</v>
      </c>
    </row>
    <row r="38" spans="1:8">
      <c r="A38" s="5"/>
      <c r="B38" s="5"/>
      <c r="C38" s="8"/>
      <c r="D38" s="8"/>
      <c r="E38" s="8"/>
      <c r="G38" s="8"/>
      <c r="H38" s="8"/>
    </row>
    <row r="39" spans="1:8">
      <c r="A39" s="3" t="s">
        <v>44</v>
      </c>
      <c r="B39" s="5"/>
      <c r="C39" s="8"/>
      <c r="D39" s="8"/>
      <c r="E39" s="8"/>
      <c r="G39" s="8"/>
      <c r="H39" s="8"/>
    </row>
    <row r="40" spans="1:8">
      <c r="A40" s="5"/>
      <c r="B40" s="5" t="s">
        <v>45</v>
      </c>
      <c r="C40" s="8">
        <f>250000-4116</f>
        <v>245884</v>
      </c>
      <c r="D40" s="8"/>
      <c r="E40" s="8">
        <f t="shared" si="4"/>
        <v>245884</v>
      </c>
      <c r="G40" s="8">
        <v>137191</v>
      </c>
      <c r="H40" s="8">
        <f>E40-G40</f>
        <v>108693</v>
      </c>
    </row>
    <row r="41" spans="1:8">
      <c r="A41" s="5"/>
      <c r="B41" s="5"/>
      <c r="C41" s="8"/>
      <c r="D41" s="8"/>
      <c r="E41" s="8"/>
      <c r="G41" s="8"/>
      <c r="H41" s="8"/>
    </row>
    <row r="42" spans="1:8">
      <c r="A42" s="3" t="s">
        <v>49</v>
      </c>
      <c r="B42" s="5"/>
      <c r="C42" s="8"/>
      <c r="D42" s="8">
        <v>200000</v>
      </c>
      <c r="E42" s="8">
        <f t="shared" si="4"/>
        <v>200000</v>
      </c>
      <c r="G42" s="8">
        <v>200000</v>
      </c>
      <c r="H42" s="10" t="s">
        <v>47</v>
      </c>
    </row>
    <row r="43" spans="1:8">
      <c r="A43" s="3"/>
      <c r="B43" s="5"/>
      <c r="C43" s="8"/>
      <c r="D43" s="8"/>
      <c r="E43" s="8"/>
      <c r="G43" s="8"/>
      <c r="H43" s="8"/>
    </row>
    <row r="44" spans="1:8">
      <c r="A44" s="3" t="s">
        <v>15</v>
      </c>
      <c r="B44" s="3"/>
      <c r="C44" s="8">
        <f>SUM(C33:C40)</f>
        <v>800000</v>
      </c>
      <c r="D44" s="8">
        <f>D42</f>
        <v>200000</v>
      </c>
      <c r="E44" s="8">
        <f t="shared" si="4"/>
        <v>1000000</v>
      </c>
      <c r="G44" s="8">
        <f>SUM(G33:G42)</f>
        <v>488894</v>
      </c>
      <c r="H44" s="8">
        <f>E44-G44</f>
        <v>511106</v>
      </c>
    </row>
    <row r="45" spans="1:8">
      <c r="A45" t="s">
        <v>48</v>
      </c>
    </row>
    <row r="46" spans="1:8">
      <c r="A46" s="7" t="s">
        <v>35</v>
      </c>
      <c r="B46" s="7"/>
    </row>
  </sheetData>
  <hyperlinks>
    <hyperlink ref="A46" r:id="rId1" display="https://parcels.laketahoeinfo.org/DevelopmentRightPool/DevelopmentRightPoolBalanceReport " xr:uid="{10B527C9-8CEA-4CC8-BE7E-6BFD14D96157}"/>
    <hyperlink ref="A23" r:id="rId2" display="https://parcels.laketahoeinfo.org/DevelopmentRightPool/DevelopmentRightPoolBalanceReport " xr:uid="{208F40DE-64DF-4216-BA0E-7AEBB086F4D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245C-5B98-4283-8436-AED1C2AE8F59}">
  <dimension ref="A1:I42"/>
  <sheetViews>
    <sheetView workbookViewId="0">
      <selection activeCell="I20" sqref="I20"/>
    </sheetView>
  </sheetViews>
  <sheetFormatPr defaultRowHeight="12.75"/>
  <cols>
    <col min="1" max="1" width="30.5703125" bestFit="1" customWidth="1"/>
    <col min="2" max="2" width="19.85546875" bestFit="1" customWidth="1"/>
    <col min="3" max="3" width="20.7109375" bestFit="1" customWidth="1"/>
    <col min="4" max="4" width="11.28515625" bestFit="1" customWidth="1"/>
    <col min="5" max="5" width="16.85546875" bestFit="1" customWidth="1"/>
    <col min="7" max="7" width="11.140625" bestFit="1" customWidth="1"/>
    <col min="8" max="8" width="9.42578125" customWidth="1"/>
  </cols>
  <sheetData>
    <row r="1" spans="1:5" ht="15">
      <c r="A1" s="6" t="s">
        <v>50</v>
      </c>
    </row>
    <row r="2" spans="1:5">
      <c r="A2" t="s">
        <v>1</v>
      </c>
    </row>
    <row r="6" spans="1:5">
      <c r="A6" s="5"/>
      <c r="B6" s="5"/>
      <c r="C6" s="4" t="s">
        <v>4</v>
      </c>
      <c r="D6" s="4" t="s">
        <v>5</v>
      </c>
      <c r="E6" s="4" t="s">
        <v>6</v>
      </c>
    </row>
    <row r="7" spans="1:5">
      <c r="A7" s="3" t="s">
        <v>51</v>
      </c>
      <c r="B7" s="5"/>
      <c r="C7" s="8">
        <f>E40</f>
        <v>400</v>
      </c>
      <c r="D7" s="8">
        <f>G40</f>
        <v>204</v>
      </c>
      <c r="E7" s="8">
        <f>H40</f>
        <v>196</v>
      </c>
    </row>
    <row r="8" spans="1:5">
      <c r="A8" s="5"/>
      <c r="B8" s="5"/>
      <c r="C8" s="8"/>
      <c r="D8" s="8"/>
      <c r="E8" s="8"/>
    </row>
    <row r="9" spans="1:5">
      <c r="A9" s="3" t="s">
        <v>31</v>
      </c>
      <c r="B9" s="5"/>
      <c r="C9" s="8"/>
      <c r="D9" s="8"/>
      <c r="E9" s="8"/>
    </row>
    <row r="10" spans="1:5">
      <c r="A10" s="5"/>
      <c r="B10" s="5" t="s">
        <v>8</v>
      </c>
      <c r="C10" s="8">
        <f>E31</f>
        <v>37</v>
      </c>
      <c r="D10" s="8">
        <f>G31</f>
        <v>37</v>
      </c>
      <c r="E10" s="8">
        <f>H31</f>
        <v>0</v>
      </c>
    </row>
    <row r="11" spans="1:5">
      <c r="A11" s="5"/>
      <c r="B11" s="5" t="s">
        <v>9</v>
      </c>
      <c r="C11" s="8">
        <f>E32</f>
        <v>33</v>
      </c>
      <c r="D11" s="8">
        <f t="shared" ref="D11:E14" si="0">G32</f>
        <v>33</v>
      </c>
      <c r="E11" s="8">
        <f t="shared" si="0"/>
        <v>0</v>
      </c>
    </row>
    <row r="12" spans="1:5">
      <c r="A12" s="5"/>
      <c r="B12" s="5" t="s">
        <v>10</v>
      </c>
      <c r="C12" s="8">
        <f>E33</f>
        <v>50</v>
      </c>
      <c r="D12" s="8">
        <f t="shared" si="0"/>
        <v>25</v>
      </c>
      <c r="E12" s="8">
        <f t="shared" si="0"/>
        <v>25</v>
      </c>
    </row>
    <row r="13" spans="1:5">
      <c r="A13" s="5"/>
      <c r="B13" s="5" t="s">
        <v>11</v>
      </c>
      <c r="C13" s="8">
        <f>E34</f>
        <v>10</v>
      </c>
      <c r="D13" s="8">
        <f t="shared" si="0"/>
        <v>10</v>
      </c>
      <c r="E13" s="8">
        <f t="shared" si="0"/>
        <v>0</v>
      </c>
    </row>
    <row r="14" spans="1:5">
      <c r="A14" s="5"/>
      <c r="B14" s="5" t="s">
        <v>12</v>
      </c>
      <c r="C14" s="8">
        <f>E35</f>
        <v>25</v>
      </c>
      <c r="D14" s="8">
        <f t="shared" si="0"/>
        <v>25</v>
      </c>
      <c r="E14" s="8">
        <f t="shared" si="0"/>
        <v>0</v>
      </c>
    </row>
    <row r="15" spans="1:5">
      <c r="A15" s="5"/>
      <c r="B15" s="5"/>
      <c r="C15" s="8"/>
      <c r="D15" s="8"/>
      <c r="E15" s="8"/>
    </row>
    <row r="16" spans="1:5">
      <c r="A16" s="3" t="s">
        <v>52</v>
      </c>
      <c r="B16" s="5"/>
      <c r="C16" s="8"/>
      <c r="D16" s="8"/>
      <c r="E16" s="8"/>
    </row>
    <row r="17" spans="1:9">
      <c r="A17" s="5"/>
      <c r="B17" s="5" t="s">
        <v>53</v>
      </c>
      <c r="C17" s="8">
        <f t="shared" ref="C17" si="1">E38</f>
        <v>240</v>
      </c>
      <c r="D17" s="8">
        <f t="shared" ref="D17:E17" si="2">G38</f>
        <v>74</v>
      </c>
      <c r="E17" s="8">
        <f t="shared" si="2"/>
        <v>166</v>
      </c>
    </row>
    <row r="18" spans="1:9">
      <c r="A18" s="5"/>
      <c r="B18" s="5"/>
      <c r="C18" s="8"/>
      <c r="D18" s="8"/>
      <c r="E18" s="8"/>
    </row>
    <row r="19" spans="1:9">
      <c r="A19" s="3" t="s">
        <v>15</v>
      </c>
      <c r="B19" s="5"/>
      <c r="C19" s="8">
        <f>SUM(C10:C18)</f>
        <v>395</v>
      </c>
      <c r="D19" s="8">
        <f>SUM(D10:D18)</f>
        <v>204</v>
      </c>
      <c r="E19" s="8">
        <f>SUM(E10:E18)</f>
        <v>191</v>
      </c>
    </row>
    <row r="20" spans="1:9">
      <c r="C20" s="9"/>
      <c r="D20" s="9"/>
      <c r="E20" s="9"/>
    </row>
    <row r="21" spans="1:9">
      <c r="A21" s="7" t="s">
        <v>35</v>
      </c>
      <c r="B21" s="7"/>
      <c r="C21" s="9"/>
      <c r="D21" s="9"/>
      <c r="E21" s="9"/>
    </row>
    <row r="22" spans="1:9">
      <c r="C22" s="9"/>
      <c r="D22" s="9"/>
      <c r="E22" s="9"/>
    </row>
    <row r="23" spans="1:9">
      <c r="C23" s="9"/>
      <c r="D23" s="9"/>
      <c r="E23" s="9"/>
    </row>
    <row r="24" spans="1:9">
      <c r="C24" s="9"/>
      <c r="D24" s="9"/>
      <c r="E24" s="9"/>
    </row>
    <row r="25" spans="1:9">
      <c r="C25" s="9"/>
      <c r="D25" s="9"/>
      <c r="E25" s="9"/>
    </row>
    <row r="26" spans="1:9">
      <c r="C26" s="9"/>
      <c r="D26" s="9"/>
      <c r="E26" s="9"/>
    </row>
    <row r="27" spans="1:9">
      <c r="C27" s="9"/>
      <c r="D27" s="9"/>
      <c r="E27" s="9"/>
    </row>
    <row r="28" spans="1:9">
      <c r="A28" s="3" t="s">
        <v>51</v>
      </c>
      <c r="B28" s="5"/>
      <c r="C28" s="8" t="s">
        <v>2</v>
      </c>
      <c r="D28" s="8" t="s">
        <v>36</v>
      </c>
      <c r="E28" s="8" t="s">
        <v>37</v>
      </c>
      <c r="G28" s="5" t="s">
        <v>5</v>
      </c>
      <c r="H28" s="5" t="s">
        <v>19</v>
      </c>
    </row>
    <row r="29" spans="1:9">
      <c r="A29" s="5"/>
      <c r="B29" s="5"/>
      <c r="C29" s="8"/>
      <c r="D29" s="8"/>
      <c r="E29" s="8"/>
      <c r="G29" s="5"/>
      <c r="H29" s="5"/>
    </row>
    <row r="30" spans="1:9">
      <c r="A30" s="3" t="s">
        <v>31</v>
      </c>
      <c r="B30" s="5"/>
      <c r="C30" s="8"/>
      <c r="D30" s="8"/>
      <c r="E30" s="8"/>
      <c r="G30" s="5"/>
      <c r="H30" s="5"/>
    </row>
    <row r="31" spans="1:9">
      <c r="A31" s="5"/>
      <c r="B31" s="5" t="s">
        <v>8</v>
      </c>
      <c r="C31" s="8">
        <v>37</v>
      </c>
      <c r="D31" s="8">
        <v>0</v>
      </c>
      <c r="E31" s="8">
        <f>SUM(C31:D31)</f>
        <v>37</v>
      </c>
      <c r="G31" s="8">
        <v>37</v>
      </c>
      <c r="H31" s="8">
        <v>0</v>
      </c>
      <c r="I31" s="9"/>
    </row>
    <row r="32" spans="1:9">
      <c r="A32" s="5"/>
      <c r="B32" s="5" t="s">
        <v>9</v>
      </c>
      <c r="C32" s="8">
        <v>33</v>
      </c>
      <c r="D32" s="8">
        <v>0</v>
      </c>
      <c r="E32" s="8">
        <f t="shared" ref="E32:E40" si="3">SUM(C32:D32)</f>
        <v>33</v>
      </c>
      <c r="G32" s="8">
        <v>33</v>
      </c>
      <c r="H32" s="8">
        <v>0</v>
      </c>
      <c r="I32" s="9"/>
    </row>
    <row r="33" spans="1:9">
      <c r="A33" s="5"/>
      <c r="B33" s="5" t="s">
        <v>10</v>
      </c>
      <c r="C33" s="8">
        <v>50</v>
      </c>
      <c r="D33" s="8">
        <v>0</v>
      </c>
      <c r="E33" s="8">
        <f t="shared" si="3"/>
        <v>50</v>
      </c>
      <c r="G33" s="8">
        <v>25</v>
      </c>
      <c r="H33" s="8">
        <v>25</v>
      </c>
      <c r="I33" s="9"/>
    </row>
    <row r="34" spans="1:9">
      <c r="A34" s="5"/>
      <c r="B34" s="5" t="s">
        <v>11</v>
      </c>
      <c r="C34" s="8">
        <v>10</v>
      </c>
      <c r="D34" s="8">
        <v>0</v>
      </c>
      <c r="E34" s="8">
        <f t="shared" si="3"/>
        <v>10</v>
      </c>
      <c r="G34" s="8">
        <v>10</v>
      </c>
      <c r="H34" s="8">
        <v>0</v>
      </c>
      <c r="I34" s="9"/>
    </row>
    <row r="35" spans="1:9">
      <c r="A35" s="5"/>
      <c r="B35" s="5" t="s">
        <v>12</v>
      </c>
      <c r="C35" s="8">
        <v>25</v>
      </c>
      <c r="D35" s="8">
        <v>0</v>
      </c>
      <c r="E35" s="8">
        <f t="shared" si="3"/>
        <v>25</v>
      </c>
      <c r="G35" s="8">
        <v>25</v>
      </c>
      <c r="H35" s="8">
        <v>0</v>
      </c>
      <c r="I35" s="9"/>
    </row>
    <row r="36" spans="1:9">
      <c r="A36" s="5"/>
      <c r="B36" s="5" t="s">
        <v>54</v>
      </c>
      <c r="C36" s="8">
        <v>5</v>
      </c>
      <c r="D36" s="8">
        <v>0</v>
      </c>
      <c r="E36" s="8">
        <v>5</v>
      </c>
      <c r="G36" s="8">
        <v>0</v>
      </c>
      <c r="H36" s="8">
        <v>5</v>
      </c>
      <c r="I36" s="9"/>
    </row>
    <row r="37" spans="1:9">
      <c r="A37" s="3" t="s">
        <v>52</v>
      </c>
      <c r="B37" s="5"/>
      <c r="C37" s="8"/>
      <c r="D37" s="8"/>
      <c r="E37" s="8"/>
      <c r="G37" s="8"/>
      <c r="H37" s="8"/>
      <c r="I37" s="9"/>
    </row>
    <row r="38" spans="1:9">
      <c r="A38" s="5"/>
      <c r="B38" s="5" t="s">
        <v>53</v>
      </c>
      <c r="C38" s="8">
        <v>240</v>
      </c>
      <c r="D38" s="8">
        <v>0</v>
      </c>
      <c r="E38" s="8">
        <f t="shared" si="3"/>
        <v>240</v>
      </c>
      <c r="G38" s="8">
        <v>74</v>
      </c>
      <c r="H38" s="8">
        <v>166</v>
      </c>
      <c r="I38" s="9"/>
    </row>
    <row r="39" spans="1:9">
      <c r="A39" s="5"/>
      <c r="B39" s="5"/>
      <c r="C39" s="8"/>
      <c r="D39" s="8"/>
      <c r="E39" s="8"/>
      <c r="G39" s="8"/>
      <c r="H39" s="8"/>
      <c r="I39" s="9"/>
    </row>
    <row r="40" spans="1:9">
      <c r="A40" s="3" t="s">
        <v>15</v>
      </c>
      <c r="B40" s="3"/>
      <c r="C40" s="8">
        <f>SUM(C31:C38)</f>
        <v>400</v>
      </c>
      <c r="D40" s="8">
        <v>0</v>
      </c>
      <c r="E40" s="8">
        <f t="shared" si="3"/>
        <v>400</v>
      </c>
      <c r="G40" s="8">
        <f>SUM(G31:G39)</f>
        <v>204</v>
      </c>
      <c r="H40" s="8">
        <f>SUM(H31:H39)</f>
        <v>196</v>
      </c>
      <c r="I40" s="9"/>
    </row>
    <row r="41" spans="1:9">
      <c r="A41" t="s">
        <v>55</v>
      </c>
    </row>
    <row r="42" spans="1:9">
      <c r="A42" s="7" t="s">
        <v>35</v>
      </c>
      <c r="B42" s="7"/>
    </row>
  </sheetData>
  <hyperlinks>
    <hyperlink ref="A42" r:id="rId1" display="https://parcels.laketahoeinfo.org/DevelopmentRightPool/DevelopmentRightPoolBalanceReport " xr:uid="{C4119C30-6FF6-4C3D-A652-82CB36202C56}"/>
    <hyperlink ref="A21" r:id="rId2" display="https://parcels.laketahoeinfo.org/DevelopmentRightPool/DevelopmentRightPoolBalanceReport " xr:uid="{AD234899-416A-44CF-94C8-C6E48817DD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Kenneth Kasman</dc:creator>
  <cp:keywords/>
  <dc:description/>
  <cp:lastModifiedBy/>
  <cp:revision/>
  <dcterms:created xsi:type="dcterms:W3CDTF">2026-05-13T16:21:40Z</dcterms:created>
  <dcterms:modified xsi:type="dcterms:W3CDTF">2026-05-14T05:02:50Z</dcterms:modified>
  <cp:category/>
  <cp:contentStatus/>
</cp:coreProperties>
</file>