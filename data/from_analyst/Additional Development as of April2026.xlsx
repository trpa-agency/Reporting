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7"/>
  <workbookPr/>
  <mc:AlternateContent xmlns:mc="http://schemas.openxmlformats.org/markup-compatibility/2006">
    <mc:Choice Requires="x15">
      <x15ac:absPath xmlns:x15ac="http://schemas.microsoft.com/office/spreadsheetml/2010/11/ac" url="https://tahoeregionalplanning-my.sharepoint.com/personal/kkasman_trpa_org/Documents/FINAL 2026 Cumulative Accounting Details/"/>
    </mc:Choice>
  </mc:AlternateContent>
  <xr:revisionPtr revIDLastSave="0" documentId="8_{EAD4EAE8-2E2E-4BA1-955C-6652DBF502A7}" xr6:coauthVersionLast="47" xr6:coauthVersionMax="47" xr10:uidLastSave="{00000000-0000-0000-0000-000000000000}"/>
  <bookViews>
    <workbookView xWindow="-120" yWindow="-120" windowWidth="29040" windowHeight="15720" xr2:uid="{6224B345-F84D-4E1B-B943-0C9C8E1F3563}"/>
  </bookViews>
  <sheets>
    <sheet name="Existing Development 2012-2025" sheetId="4" r:id="rId1"/>
    <sheet name="Banked Development" sheetId="3" r:id="rId2"/>
    <sheet name="Additional Development" sheetId="1" r:id="rId3"/>
    <sheet name="LT Info Pools Balanc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1" l="1"/>
  <c r="J13" i="2"/>
  <c r="D16" i="1" l="1"/>
  <c r="B16" i="1"/>
  <c r="B18" i="1" s="1"/>
  <c r="B22" i="1" s="1"/>
  <c r="E29" i="1"/>
  <c r="D27" i="1"/>
  <c r="E27" i="1"/>
  <c r="H27" i="1"/>
  <c r="C22" i="3"/>
  <c r="P8" i="1" l="1"/>
  <c r="Q8" i="1" s="1"/>
  <c r="P7" i="1"/>
  <c r="Q7" i="1" s="1"/>
  <c r="P5" i="1"/>
  <c r="M8" i="1"/>
  <c r="N8" i="1" s="1"/>
  <c r="M7" i="1"/>
  <c r="R7" i="1" s="1"/>
  <c r="M5" i="1"/>
  <c r="K7" i="1"/>
  <c r="K8" i="1"/>
  <c r="K5" i="1"/>
  <c r="H29" i="1"/>
  <c r="G6" i="1" s="1"/>
  <c r="G27" i="1"/>
  <c r="G29" i="1" s="1"/>
  <c r="H26" i="1"/>
  <c r="H44" i="1"/>
  <c r="G44" i="1"/>
  <c r="E44" i="1"/>
  <c r="D44" i="1"/>
  <c r="B44" i="1"/>
  <c r="R5" i="1" l="1"/>
  <c r="S8" i="1"/>
  <c r="R8" i="1"/>
  <c r="N7" i="1"/>
  <c r="S7" i="1" s="1"/>
  <c r="N5" i="1"/>
  <c r="H36" i="1"/>
  <c r="G36" i="1"/>
  <c r="D36" i="1"/>
  <c r="K6" i="1"/>
  <c r="F6" i="1"/>
  <c r="E26" i="1"/>
  <c r="D29" i="1"/>
  <c r="N6" i="1" l="1"/>
  <c r="S5" i="1" s="1"/>
  <c r="Q5" i="1"/>
  <c r="B38" i="2"/>
  <c r="B31" i="2"/>
  <c r="B22" i="2"/>
  <c r="B13" i="2"/>
  <c r="H5" i="1"/>
  <c r="D18" i="1"/>
  <c r="D22" i="1" s="1"/>
  <c r="E18" i="1"/>
  <c r="G18" i="1"/>
  <c r="H18" i="1"/>
  <c r="H22" i="1" s="1"/>
  <c r="H6" i="1" l="1"/>
  <c r="H7" i="1"/>
  <c r="H8" i="1"/>
  <c r="E22" i="1" l="1"/>
  <c r="G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tc={659ADEEF-D265-4338-9B17-9F27970C79FA}</author>
  </authors>
  <commentList>
    <comment ref="B17" authorId="0" shapeId="0" xr:uid="{659ADEEF-D265-4338-9B17-9F27970C79FA}">
      <text>
        <t>[Threaded comment]
Your version of Excel allows you to read this threaded comment; however, any edits to it will get removed if the file is opened in a newer version of Excel. Learn more: https://go.microsoft.com/fwlink/?linkid=870924
Comment:
    Was 782. Found an omission in the TRPA pool data. We issued 11 allocations to the TRPA pool in 2013, 1 in 2014, and 20 in 2015.  The 2015 release front-loaded the pool, and used the 10 allocations that would have been the future 2032 release; 2032 will not have any allocations remaining for release to the TRPA pool.</t>
      </text>
    </comment>
  </commentList>
</comments>
</file>

<file path=xl/sharedStrings.xml><?xml version="1.0" encoding="utf-8"?>
<sst xmlns="http://schemas.openxmlformats.org/spreadsheetml/2006/main" count="154" uniqueCount="107">
  <si>
    <t>Lake Tahoe Existing Regional Development</t>
  </si>
  <si>
    <t>Updated Cumulative Accounting 2012 to 2025</t>
  </si>
  <si>
    <t>As of 4/22/2026</t>
  </si>
  <si>
    <t>Residential Units</t>
  </si>
  <si>
    <t>Tourist Accommodation Units</t>
  </si>
  <si>
    <t>Commercial Floor Area</t>
  </si>
  <si>
    <t>Banked Development Rights</t>
  </si>
  <si>
    <t xml:space="preserve">https://parcels.laketahoeinfo.org/BankedDevelopmentRight/Index </t>
  </si>
  <si>
    <t>As of March 26, 2026</t>
  </si>
  <si>
    <t>Sum of Remaining Banked Quantity</t>
  </si>
  <si>
    <t>Multi-Family Residential Unit of Use (MFRUU)</t>
  </si>
  <si>
    <t>Single-Family Residential Unit of Use (SFRUU)</t>
  </si>
  <si>
    <t>Commercial Floor Area (CFA)</t>
  </si>
  <si>
    <t>Tourist Accommodation Unit (TAU)</t>
  </si>
  <si>
    <t>Banked TAU Summary</t>
  </si>
  <si>
    <t>Banked TAUs</t>
  </si>
  <si>
    <t>Received/Pending Development</t>
  </si>
  <si>
    <t>Project 3/Stateline Redevelopment</t>
  </si>
  <si>
    <t>Original Verifications included 577 TAUs, 17 RUUs, and 28,896 sf CFA across 29 parcels in the redevelopment area. VBOU2007-0135</t>
  </si>
  <si>
    <t>Lakeside Inn (Barton)</t>
  </si>
  <si>
    <t>Motel 6 (CTC)</t>
  </si>
  <si>
    <t>Tahoe City Lodge</t>
  </si>
  <si>
    <t>Placer County (from Knights Inn, SLT)</t>
  </si>
  <si>
    <t>Sunray Motel</t>
  </si>
  <si>
    <t>Tahoe Inn (North Stateline)</t>
  </si>
  <si>
    <t>Note: another 93 units on 090-304-012 have not been banked yet</t>
  </si>
  <si>
    <t>CalNeva</t>
  </si>
  <si>
    <t>Chateau Inn, South Lake Tahoe</t>
  </si>
  <si>
    <t>Edgewood Lodge</t>
  </si>
  <si>
    <t>Remaining units for Casitas (14 of 40 units constructed, plus 154 units at main lodge)</t>
  </si>
  <si>
    <t>Waldorf Astoria (formerly Boulder Bay)</t>
  </si>
  <si>
    <t>Rest of units are existing onsite</t>
  </si>
  <si>
    <t>Dreyfus Inn, SLT</t>
  </si>
  <si>
    <t>Tahoe Mountain Lodge, SLT</t>
  </si>
  <si>
    <t>Timberlake Inn, SLT</t>
  </si>
  <si>
    <t>Transferred to CSLT Parcel?</t>
  </si>
  <si>
    <t>Jackpot Inn, SLT</t>
  </si>
  <si>
    <t>Swiss Village Motel, SLT</t>
  </si>
  <si>
    <t>The Landing</t>
  </si>
  <si>
    <t>Units previously banked during redevelopment</t>
  </si>
  <si>
    <t>Peak10 (former Sun-N-Sand Lodge)</t>
  </si>
  <si>
    <t>15 TAUs banked following the conversion from motel to 10-unit condos</t>
  </si>
  <si>
    <t>Lake Tahoe School Incline</t>
  </si>
  <si>
    <t xml:space="preserve">Black Bear Inn Deerfield Lodge </t>
  </si>
  <si>
    <t>Colony Inn, SLT</t>
  </si>
  <si>
    <t>Blue Lakes Motel, SLT</t>
  </si>
  <si>
    <t>Banked TAU Summary - Large Holdings</t>
  </si>
  <si>
    <t>Banked CFA</t>
  </si>
  <si>
    <t>Lakeside Inn/Barton (Converted from Casino area)</t>
  </si>
  <si>
    <t>Oak Angel, Incline</t>
  </si>
  <si>
    <t>North Tahoe Marina (from Wild Goose)</t>
  </si>
  <si>
    <t>1740 D St., SLT Industrial Area Redevelopment</t>
  </si>
  <si>
    <t>Additional Development Rights Balances in December 2025</t>
  </si>
  <si>
    <t>As of April 22, 2026</t>
  </si>
  <si>
    <t>Assigned to Projects</t>
  </si>
  <si>
    <t>Remaining Development</t>
  </si>
  <si>
    <r>
      <t>Regional Plan Maximum</t>
    </r>
    <r>
      <rPr>
        <vertAlign val="superscript"/>
        <sz val="12"/>
        <color theme="1"/>
        <rFont val="Aptos"/>
        <family val="2"/>
      </rPr>
      <t>1</t>
    </r>
  </si>
  <si>
    <t>Not Assigned</t>
  </si>
  <si>
    <t>Constructed</t>
  </si>
  <si>
    <t>Not Constructed</t>
  </si>
  <si>
    <t>Total</t>
  </si>
  <si>
    <t>Not Assigned + Not Constructed</t>
  </si>
  <si>
    <t>Est. Banked Development</t>
  </si>
  <si>
    <t>Est. Total Development Potential</t>
  </si>
  <si>
    <t>Existing</t>
  </si>
  <si>
    <t>Residential Allocations</t>
  </si>
  <si>
    <t>Residential Bonus Units</t>
  </si>
  <si>
    <t>Tourist Bonus Units</t>
  </si>
  <si>
    <t>Commercial Floor Area (square feet)</t>
  </si>
  <si>
    <t xml:space="preserve">1 Regional Plan, Policy DP-2.2 and TRPA Code Section 50.4.1.  </t>
  </si>
  <si>
    <t>2012 Regional Plan - Residential Allocations</t>
  </si>
  <si>
    <t>Total Allocations</t>
  </si>
  <si>
    <t>Assigned to Local Jurisdiction Pools</t>
  </si>
  <si>
    <t>Assigned to TRPA Incentive Pool</t>
  </si>
  <si>
    <t>Unreleased</t>
  </si>
  <si>
    <t>Remaining from 1987 Plan</t>
  </si>
  <si>
    <t>Grand Total</t>
  </si>
  <si>
    <t>2012 Regional Plan - Residential Bonus Units</t>
  </si>
  <si>
    <t>Total Residential Bonus Units</t>
  </si>
  <si>
    <t>Note: approx. 14 units listed as built in 2012 plan may not have been built. These have been removed from the constructed totals for this analysis</t>
  </si>
  <si>
    <t>Note: approx. 8 units listed as built in 2012 plan may not have been built. These have been removed from the constructed totals for this analysis</t>
  </si>
  <si>
    <t>Note: approx. 22 units listed as built in 2012 plan may not have been built. These have been removed from the constructed totals for this analysis</t>
  </si>
  <si>
    <t>2012 Regional Plan - Tourist Bonus Units</t>
  </si>
  <si>
    <t>Total Tourist Bonus Units</t>
  </si>
  <si>
    <t>Note: 138 TAUs from the TRPA pool were permitted for use at Tahoe City Lodge (48), Homewood (50), and Boulder Bay (40). If these projects do not use the units, they will be returned to the TRPA pool. Used TAUs were for Round Hill Vacation Resort.</t>
  </si>
  <si>
    <t>2012 Regional Plan - Commercial Floor Area</t>
  </si>
  <si>
    <t>Total CFA</t>
  </si>
  <si>
    <t>Homewood was assigned 23,237 sf CFA from the TRPA pool. If unused, CFA will return to TRPA.</t>
  </si>
  <si>
    <t>LT Info Development Right Pool Balance Report</t>
  </si>
  <si>
    <t xml:space="preserve">https://parcels.laketahoeinfo.org/DevelopmentRightPool/DevelopmentRightPoolBalanceReport </t>
  </si>
  <si>
    <t>REMAINING BALANCES</t>
  </si>
  <si>
    <t>Remaining Balance</t>
  </si>
  <si>
    <t>Jurisdiction</t>
  </si>
  <si>
    <t>Remaining Unreserved Units</t>
  </si>
  <si>
    <t>as of April 22, 2026</t>
  </si>
  <si>
    <t>TRPA Pool</t>
  </si>
  <si>
    <t>Note - pool shows as 144, but that is incorrect -should be 154</t>
  </si>
  <si>
    <t>City of South Lake Tahoe</t>
  </si>
  <si>
    <t>Local Jurisdiction Pools</t>
  </si>
  <si>
    <t>Douglas</t>
  </si>
  <si>
    <t>El Dorado</t>
  </si>
  <si>
    <t>Unreleased Allocations</t>
  </si>
  <si>
    <t>Placer</t>
  </si>
  <si>
    <t>Washoe</t>
  </si>
  <si>
    <t>Grand Total Remaining Allocations</t>
  </si>
  <si>
    <t>Jurisdiction Totals</t>
  </si>
  <si>
    <t>Grand Total Remaining Bonus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</si>
</sst>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mmmm\ dd\,\ yyyy"/>
    <numFmt numFmtId="166" formatCode="0.0%"/>
  </numFmts>
  <fonts count="12">
    <font>
      <sz val="10"/>
      <color theme="1"/>
      <name val="Calibri"/>
      <family val="2"/>
    </font>
    <font>
      <sz val="10"/>
      <color theme="1"/>
      <name val="Calibri"/>
      <family val="2"/>
    </font>
    <font>
      <b/>
      <sz val="10"/>
      <color theme="1"/>
      <name val="Calibri"/>
      <family val="2"/>
    </font>
    <font>
      <sz val="12"/>
      <color theme="1"/>
      <name val="Aptos"/>
      <family val="2"/>
    </font>
    <font>
      <b/>
      <u/>
      <sz val="10"/>
      <color theme="1"/>
      <name val="Calibri"/>
      <family val="2"/>
    </font>
    <font>
      <b/>
      <sz val="12"/>
      <color theme="1"/>
      <name val="Calibri"/>
      <family val="2"/>
    </font>
    <font>
      <sz val="18"/>
      <color rgb="FF1A3D5C"/>
      <name val="Arial"/>
      <family val="2"/>
    </font>
    <font>
      <u/>
      <sz val="10"/>
      <color theme="10"/>
      <name val="Calibri"/>
      <family val="2"/>
    </font>
    <font>
      <sz val="10"/>
      <color theme="1"/>
      <name val="Aptos"/>
      <family val="2"/>
    </font>
    <font>
      <vertAlign val="superscript"/>
      <sz val="12"/>
      <color theme="1"/>
      <name val="Aptos"/>
      <family val="2"/>
    </font>
    <font>
      <sz val="12"/>
      <color theme="1"/>
      <name val="Calibri"/>
      <family val="2"/>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7" fillId="0" borderId="0" applyNumberFormat="0" applyFill="0" applyBorder="0" applyAlignment="0" applyProtection="0"/>
    <xf numFmtId="9" fontId="1" fillId="0" borderId="0" applyFont="0" applyFill="0" applyBorder="0" applyAlignment="0" applyProtection="0"/>
  </cellStyleXfs>
  <cellXfs count="61">
    <xf numFmtId="0" fontId="0" fillId="0" borderId="0" xfId="0"/>
    <xf numFmtId="0" fontId="3" fillId="0" borderId="1" xfId="0" applyFont="1" applyBorder="1" applyAlignment="1">
      <alignment vertical="center"/>
    </xf>
    <xf numFmtId="0" fontId="3" fillId="0" borderId="2" xfId="0" applyFont="1" applyBorder="1" applyAlignment="1">
      <alignment horizontal="right" vertical="center"/>
    </xf>
    <xf numFmtId="0" fontId="3" fillId="0" borderId="3" xfId="0" applyFont="1" applyBorder="1" applyAlignment="1">
      <alignment vertical="center"/>
    </xf>
    <xf numFmtId="0" fontId="0" fillId="0" borderId="0" xfId="0" applyAlignment="1">
      <alignment horizontal="left"/>
    </xf>
    <xf numFmtId="0" fontId="3" fillId="0" borderId="1" xfId="0" applyFont="1" applyBorder="1" applyAlignment="1">
      <alignment horizontal="right" vertical="center"/>
    </xf>
    <xf numFmtId="164" fontId="0" fillId="0" borderId="4" xfId="1" applyNumberFormat="1" applyFont="1" applyBorder="1"/>
    <xf numFmtId="164" fontId="2" fillId="0" borderId="4" xfId="1" applyNumberFormat="1" applyFont="1" applyBorder="1"/>
    <xf numFmtId="0" fontId="4" fillId="0" borderId="5" xfId="0" applyFont="1" applyBorder="1"/>
    <xf numFmtId="0" fontId="0" fillId="0" borderId="6" xfId="0" applyBorder="1"/>
    <xf numFmtId="0" fontId="0" fillId="0" borderId="7" xfId="0" applyBorder="1"/>
    <xf numFmtId="164" fontId="0" fillId="0" borderId="8" xfId="1" applyNumberFormat="1" applyFont="1" applyBorder="1"/>
    <xf numFmtId="164" fontId="2" fillId="0" borderId="8" xfId="1" applyNumberFormat="1" applyFont="1" applyBorder="1"/>
    <xf numFmtId="0" fontId="0" fillId="0" borderId="7" xfId="0" applyBorder="1" applyAlignment="1">
      <alignment horizontal="left"/>
    </xf>
    <xf numFmtId="0" fontId="2" fillId="0" borderId="9" xfId="0" applyFont="1" applyBorder="1" applyAlignment="1">
      <alignment horizontal="left"/>
    </xf>
    <xf numFmtId="164" fontId="2" fillId="0" borderId="10" xfId="1" applyNumberFormat="1" applyFont="1" applyBorder="1"/>
    <xf numFmtId="0" fontId="0" fillId="0" borderId="11" xfId="0" applyBorder="1" applyAlignment="1">
      <alignment horizontal="left"/>
    </xf>
    <xf numFmtId="0" fontId="0" fillId="0" borderId="6" xfId="0" applyBorder="1" applyAlignment="1">
      <alignment horizontal="left"/>
    </xf>
    <xf numFmtId="164" fontId="0" fillId="0" borderId="7" xfId="1" applyNumberFormat="1" applyFont="1" applyBorder="1"/>
    <xf numFmtId="164" fontId="2" fillId="0" borderId="7" xfId="1" applyNumberFormat="1" applyFont="1" applyBorder="1"/>
    <xf numFmtId="164" fontId="2" fillId="0" borderId="9" xfId="1" applyNumberFormat="1" applyFont="1" applyBorder="1"/>
    <xf numFmtId="164" fontId="2" fillId="0" borderId="12" xfId="1" applyNumberFormat="1" applyFont="1" applyBorder="1"/>
    <xf numFmtId="0" fontId="5" fillId="0" borderId="0" xfId="0" applyFont="1"/>
    <xf numFmtId="0" fontId="6" fillId="0" borderId="0" xfId="0" applyFont="1" applyAlignment="1">
      <alignment vertical="center"/>
    </xf>
    <xf numFmtId="0" fontId="7" fillId="0" borderId="0" xfId="2"/>
    <xf numFmtId="164" fontId="1" fillId="0" borderId="8" xfId="1" applyNumberFormat="1" applyFont="1" applyBorder="1"/>
    <xf numFmtId="164" fontId="2" fillId="0" borderId="5" xfId="1" applyNumberFormat="1" applyFont="1" applyBorder="1"/>
    <xf numFmtId="164" fontId="1" fillId="0" borderId="7" xfId="1" applyNumberFormat="1" applyFont="1" applyBorder="1"/>
    <xf numFmtId="164" fontId="0" fillId="0" borderId="0" xfId="0" applyNumberFormat="1"/>
    <xf numFmtId="0" fontId="0" fillId="0" borderId="13" xfId="0" applyBorder="1"/>
    <xf numFmtId="0" fontId="0" fillId="0" borderId="14" xfId="0" applyBorder="1"/>
    <xf numFmtId="0" fontId="2" fillId="0" borderId="9" xfId="0" applyFont="1" applyBorder="1"/>
    <xf numFmtId="0" fontId="0" fillId="0" borderId="15" xfId="0" applyBorder="1"/>
    <xf numFmtId="164" fontId="0" fillId="0" borderId="16" xfId="1" applyNumberFormat="1" applyFont="1" applyBorder="1"/>
    <xf numFmtId="164" fontId="2" fillId="0" borderId="15" xfId="1" applyNumberFormat="1" applyFont="1" applyBorder="1"/>
    <xf numFmtId="164" fontId="2" fillId="0" borderId="16" xfId="1" applyNumberFormat="1" applyFont="1" applyBorder="1"/>
    <xf numFmtId="165" fontId="0" fillId="0" borderId="0" xfId="0" applyNumberFormat="1" applyAlignment="1">
      <alignment horizontal="left"/>
    </xf>
    <xf numFmtId="164" fontId="3" fillId="0" borderId="3" xfId="0" applyNumberFormat="1" applyFont="1" applyBorder="1" applyAlignment="1">
      <alignment horizontal="right" vertical="center"/>
    </xf>
    <xf numFmtId="164" fontId="0" fillId="0" borderId="0" xfId="0" applyNumberFormat="1" applyAlignment="1">
      <alignment horizontal="left"/>
    </xf>
    <xf numFmtId="0" fontId="0" fillId="0" borderId="5" xfId="0" applyBorder="1" applyAlignment="1">
      <alignment horizontal="left"/>
    </xf>
    <xf numFmtId="0" fontId="8" fillId="0" borderId="0" xfId="0" applyFont="1"/>
    <xf numFmtId="0" fontId="0" fillId="0" borderId="4" xfId="0" applyBorder="1"/>
    <xf numFmtId="0" fontId="2" fillId="2" borderId="4" xfId="0" applyFont="1" applyFill="1" applyBorder="1"/>
    <xf numFmtId="0" fontId="0" fillId="0" borderId="4" xfId="0" applyBorder="1" applyAlignment="1">
      <alignment horizontal="left"/>
    </xf>
    <xf numFmtId="0" fontId="10" fillId="0" borderId="0" xfId="0" applyFont="1"/>
    <xf numFmtId="0" fontId="4" fillId="0" borderId="0" xfId="0" applyFont="1"/>
    <xf numFmtId="3" fontId="0" fillId="0" borderId="0" xfId="0" applyNumberFormat="1"/>
    <xf numFmtId="0" fontId="3" fillId="0" borderId="19" xfId="0" applyFont="1" applyBorder="1" applyAlignment="1">
      <alignment horizontal="right" vertical="center" wrapText="1"/>
    </xf>
    <xf numFmtId="9" fontId="0" fillId="0" borderId="0" xfId="3" applyFont="1"/>
    <xf numFmtId="0" fontId="2" fillId="0" borderId="0" xfId="0" applyFont="1"/>
    <xf numFmtId="0" fontId="3" fillId="3" borderId="1" xfId="0" applyFont="1" applyFill="1" applyBorder="1" applyAlignment="1">
      <alignment horizontal="right" vertical="center" wrapText="1"/>
    </xf>
    <xf numFmtId="164" fontId="3" fillId="3" borderId="3" xfId="0" applyNumberFormat="1" applyFont="1" applyFill="1" applyBorder="1" applyAlignment="1">
      <alignment horizontal="right" vertical="center"/>
    </xf>
    <xf numFmtId="166" fontId="0" fillId="0" borderId="0" xfId="3" applyNumberFormat="1" applyFont="1"/>
    <xf numFmtId="0" fontId="0" fillId="0" borderId="20" xfId="0" applyBorder="1"/>
    <xf numFmtId="0" fontId="11" fillId="0" borderId="0" xfId="0" applyFont="1"/>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 xfId="0" applyFont="1" applyBorder="1" applyAlignment="1">
      <alignment horizontal="center" vertical="center"/>
    </xf>
    <xf numFmtId="0" fontId="3" fillId="3" borderId="17"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2" xfId="0" applyFont="1" applyFill="1" applyBorder="1" applyAlignment="1">
      <alignment horizontal="center" vertical="center" wrapText="1"/>
    </xf>
  </cellXfs>
  <cellStyles count="4">
    <cellStyle name="Comma" xfId="1" builtinId="3"/>
    <cellStyle name="Hyperlink" xfId="2"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Kenneth Kasman" id="{BFE7CF03-090C-4A63-8E34-EC3424F52F4C}" userId="S::kkasman@trpa.org::6be3cf84-98da-4454-bf0a-aaf01e69e1d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7" dT="2026-04-13T21:15:49.40" personId="{BFE7CF03-090C-4A63-8E34-EC3424F52F4C}" id="{659ADEEF-D265-4338-9B17-9F27970C79FA}">
    <text>Was 782. Found an omission in the TRPA pool data. We issued 11 allocations to the TRPA pool in 2013, 1 in 2014, and 20 in 2015.  The 2015 release front-loaded the pool, and used the 10 allocations that would have been the future 2032 release; 2032 will not have any allocations remaining for release to the TRPA pool.</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parcels.laketahoeinfo.org/BankedDevelopmentRight/Index"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parcels.laketahoeinfo.org/DevelopmentRightPool/DevelopmentRightPoolBalanceRepo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13AA3-12E6-40B5-892F-BCCB82BF0711}">
  <dimension ref="A1:S13"/>
  <sheetViews>
    <sheetView tabSelected="1" workbookViewId="0">
      <selection activeCell="U3" sqref="U3"/>
    </sheetView>
  </sheetViews>
  <sheetFormatPr defaultRowHeight="12.75"/>
  <cols>
    <col min="1" max="1" width="26.7109375" customWidth="1"/>
  </cols>
  <sheetData>
    <row r="1" spans="1:19" ht="15.75">
      <c r="A1" s="22" t="s">
        <v>0</v>
      </c>
    </row>
    <row r="2" spans="1:19">
      <c r="A2" t="s">
        <v>1</v>
      </c>
    </row>
    <row r="3" spans="1:19">
      <c r="A3" t="s">
        <v>2</v>
      </c>
    </row>
    <row r="5" spans="1:19">
      <c r="B5" s="45">
        <v>2012</v>
      </c>
      <c r="C5" s="45">
        <v>2013</v>
      </c>
      <c r="D5" s="45">
        <v>2014</v>
      </c>
      <c r="E5" s="45">
        <v>2015</v>
      </c>
      <c r="F5" s="45">
        <v>2016</v>
      </c>
      <c r="G5" s="45">
        <v>2017</v>
      </c>
      <c r="H5" s="45">
        <v>2018</v>
      </c>
      <c r="I5" s="45">
        <v>2019</v>
      </c>
      <c r="J5" s="45">
        <v>2020</v>
      </c>
      <c r="K5" s="45">
        <v>2021</v>
      </c>
      <c r="L5" s="45">
        <v>2022</v>
      </c>
      <c r="M5" s="45">
        <v>2023</v>
      </c>
      <c r="N5" s="45">
        <v>2024</v>
      </c>
      <c r="O5" s="45">
        <v>2025</v>
      </c>
      <c r="R5" s="52"/>
      <c r="S5" s="46"/>
    </row>
    <row r="6" spans="1:19">
      <c r="A6" t="s">
        <v>3</v>
      </c>
      <c r="B6" s="46">
        <v>47550</v>
      </c>
      <c r="C6" s="46">
        <v>47604</v>
      </c>
      <c r="D6" s="46">
        <v>47716</v>
      </c>
      <c r="E6" s="46">
        <v>47804</v>
      </c>
      <c r="F6" s="46">
        <v>47872</v>
      </c>
      <c r="G6" s="46">
        <v>47944</v>
      </c>
      <c r="H6" s="46">
        <v>48011</v>
      </c>
      <c r="I6" s="46">
        <v>48101</v>
      </c>
      <c r="J6" s="46">
        <v>48295</v>
      </c>
      <c r="K6" s="46">
        <v>48425</v>
      </c>
      <c r="L6" s="46">
        <v>48524</v>
      </c>
      <c r="M6" s="46">
        <v>48626</v>
      </c>
      <c r="N6" s="46">
        <v>48812</v>
      </c>
      <c r="O6" s="46">
        <v>49019</v>
      </c>
      <c r="R6" s="52"/>
      <c r="S6" s="46"/>
    </row>
    <row r="7" spans="1:19">
      <c r="A7" t="s">
        <v>4</v>
      </c>
      <c r="B7" s="46">
        <v>11180</v>
      </c>
      <c r="C7" s="46">
        <v>11175</v>
      </c>
      <c r="D7" s="46">
        <v>11175</v>
      </c>
      <c r="E7" s="46">
        <v>11153</v>
      </c>
      <c r="F7" s="46">
        <v>11108</v>
      </c>
      <c r="G7" s="46">
        <v>11139</v>
      </c>
      <c r="H7" s="46">
        <v>11156</v>
      </c>
      <c r="I7" s="46">
        <v>11150</v>
      </c>
      <c r="J7" s="46">
        <v>11150</v>
      </c>
      <c r="K7" s="46">
        <v>11094</v>
      </c>
      <c r="L7" s="46">
        <v>11107</v>
      </c>
      <c r="M7" s="46">
        <v>11114</v>
      </c>
      <c r="N7" s="46">
        <v>10969</v>
      </c>
      <c r="O7" s="46">
        <v>10761</v>
      </c>
      <c r="R7" s="52"/>
      <c r="S7" s="46"/>
    </row>
    <row r="8" spans="1:19">
      <c r="A8" t="s">
        <v>5</v>
      </c>
      <c r="B8" s="46">
        <v>6581919</v>
      </c>
      <c r="C8" s="46">
        <v>6587387</v>
      </c>
      <c r="D8" s="46">
        <v>6609450</v>
      </c>
      <c r="E8" s="46">
        <v>6598123</v>
      </c>
      <c r="F8" s="46">
        <v>6601783</v>
      </c>
      <c r="G8" s="46">
        <v>6573092</v>
      </c>
      <c r="H8" s="46">
        <v>6617617</v>
      </c>
      <c r="I8" s="46">
        <v>6622199</v>
      </c>
      <c r="J8" s="46">
        <v>6607012</v>
      </c>
      <c r="K8" s="46">
        <v>6609588</v>
      </c>
      <c r="L8" s="46">
        <v>6610535</v>
      </c>
      <c r="M8" s="46">
        <v>6609970</v>
      </c>
      <c r="N8" s="46">
        <v>6592958</v>
      </c>
      <c r="O8" s="46">
        <v>6583769</v>
      </c>
    </row>
    <row r="10" spans="1:19">
      <c r="O10" s="46"/>
    </row>
    <row r="11" spans="1:19">
      <c r="C11" s="46"/>
      <c r="D11" s="46"/>
      <c r="E11" s="46"/>
      <c r="F11" s="46"/>
      <c r="G11" s="46"/>
      <c r="H11" s="46"/>
      <c r="I11" s="46"/>
      <c r="J11" s="46"/>
      <c r="K11" s="46"/>
      <c r="L11" s="46"/>
      <c r="M11" s="46"/>
      <c r="N11" s="46"/>
      <c r="O11" s="46"/>
      <c r="Q11" s="46"/>
    </row>
    <row r="12" spans="1:19">
      <c r="C12" s="46"/>
      <c r="D12" s="46"/>
      <c r="E12" s="46"/>
      <c r="F12" s="46"/>
      <c r="G12" s="46"/>
      <c r="H12" s="46"/>
      <c r="I12" s="46"/>
      <c r="J12" s="46"/>
      <c r="K12" s="46"/>
      <c r="L12" s="46"/>
      <c r="M12" s="46"/>
      <c r="N12" s="46"/>
      <c r="O12" s="46"/>
      <c r="Q12" s="46"/>
    </row>
    <row r="13" spans="1:19">
      <c r="C13" s="46"/>
      <c r="D13" s="46"/>
      <c r="E13" s="46"/>
      <c r="F13" s="46"/>
      <c r="G13" s="46"/>
      <c r="H13" s="46"/>
      <c r="I13" s="46"/>
      <c r="J13" s="46"/>
      <c r="K13" s="46"/>
      <c r="L13" s="46"/>
      <c r="M13" s="46"/>
      <c r="N13" s="46"/>
      <c r="O13" s="46"/>
      <c r="Q13" s="4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FFEF-9053-4787-BD12-C6DD53D7F19D}">
  <dimension ref="A1:E52"/>
  <sheetViews>
    <sheetView topLeftCell="A12" workbookViewId="0">
      <selection activeCell="O31" sqref="O31"/>
    </sheetView>
  </sheetViews>
  <sheetFormatPr defaultRowHeight="12.75"/>
  <cols>
    <col min="1" max="1" width="37.5703125" bestFit="1" customWidth="1"/>
    <col min="2" max="2" width="18" customWidth="1"/>
    <col min="3" max="3" width="25.5703125" customWidth="1"/>
  </cols>
  <sheetData>
    <row r="1" spans="1:2" ht="15.75">
      <c r="A1" s="44" t="s">
        <v>6</v>
      </c>
    </row>
    <row r="2" spans="1:2">
      <c r="A2" s="24" t="s">
        <v>7</v>
      </c>
    </row>
    <row r="3" spans="1:2">
      <c r="A3" t="s">
        <v>8</v>
      </c>
    </row>
    <row r="5" spans="1:2">
      <c r="A5" s="41"/>
      <c r="B5" s="42" t="s">
        <v>9</v>
      </c>
    </row>
    <row r="6" spans="1:2">
      <c r="A6" s="43" t="s">
        <v>10</v>
      </c>
      <c r="B6" s="6">
        <v>47</v>
      </c>
    </row>
    <row r="7" spans="1:2">
      <c r="A7" s="43" t="s">
        <v>11</v>
      </c>
      <c r="B7" s="6">
        <v>352</v>
      </c>
    </row>
    <row r="8" spans="1:2">
      <c r="A8" s="41" t="s">
        <v>12</v>
      </c>
      <c r="B8" s="6">
        <v>326776</v>
      </c>
    </row>
    <row r="9" spans="1:2">
      <c r="A9" s="41" t="s">
        <v>13</v>
      </c>
      <c r="B9" s="6">
        <v>1501</v>
      </c>
    </row>
    <row r="17" spans="1:5">
      <c r="A17" s="45" t="s">
        <v>14</v>
      </c>
    </row>
    <row r="18" spans="1:5">
      <c r="B18" s="49" t="s">
        <v>15</v>
      </c>
      <c r="C18" s="49" t="s">
        <v>16</v>
      </c>
    </row>
    <row r="19" spans="1:5">
      <c r="A19" t="s">
        <v>17</v>
      </c>
      <c r="B19">
        <v>493</v>
      </c>
      <c r="E19" t="s">
        <v>18</v>
      </c>
    </row>
    <row r="20" spans="1:5">
      <c r="A20" t="s">
        <v>19</v>
      </c>
      <c r="B20">
        <v>124</v>
      </c>
    </row>
    <row r="21" spans="1:5">
      <c r="A21" t="s">
        <v>20</v>
      </c>
      <c r="B21">
        <v>141</v>
      </c>
    </row>
    <row r="22" spans="1:5">
      <c r="A22" t="s">
        <v>21</v>
      </c>
      <c r="C22">
        <f>94+24</f>
        <v>118</v>
      </c>
    </row>
    <row r="23" spans="1:5">
      <c r="A23" t="s">
        <v>22</v>
      </c>
      <c r="B23">
        <v>64</v>
      </c>
    </row>
    <row r="24" spans="1:5">
      <c r="A24" t="s">
        <v>23</v>
      </c>
      <c r="B24">
        <v>64</v>
      </c>
    </row>
    <row r="25" spans="1:5">
      <c r="A25" t="s">
        <v>24</v>
      </c>
      <c r="B25">
        <v>45</v>
      </c>
      <c r="E25" t="s">
        <v>25</v>
      </c>
    </row>
    <row r="26" spans="1:5">
      <c r="A26" t="s">
        <v>26</v>
      </c>
      <c r="C26">
        <v>37</v>
      </c>
    </row>
    <row r="27" spans="1:5">
      <c r="A27" t="s">
        <v>27</v>
      </c>
      <c r="B27">
        <v>33</v>
      </c>
    </row>
    <row r="28" spans="1:5">
      <c r="A28" t="s">
        <v>28</v>
      </c>
      <c r="C28">
        <v>26</v>
      </c>
      <c r="E28" t="s">
        <v>29</v>
      </c>
    </row>
    <row r="29" spans="1:5">
      <c r="A29" t="s">
        <v>30</v>
      </c>
      <c r="C29">
        <v>30</v>
      </c>
      <c r="E29" t="s">
        <v>31</v>
      </c>
    </row>
    <row r="30" spans="1:5">
      <c r="A30" t="s">
        <v>32</v>
      </c>
      <c r="B30">
        <v>24</v>
      </c>
    </row>
    <row r="31" spans="1:5">
      <c r="A31" t="s">
        <v>33</v>
      </c>
      <c r="B31">
        <v>21</v>
      </c>
    </row>
    <row r="32" spans="1:5">
      <c r="A32" t="s">
        <v>34</v>
      </c>
      <c r="B32">
        <v>21</v>
      </c>
      <c r="E32" t="s">
        <v>35</v>
      </c>
    </row>
    <row r="33" spans="1:5">
      <c r="A33" t="s">
        <v>36</v>
      </c>
      <c r="B33">
        <v>17</v>
      </c>
      <c r="E33" t="s">
        <v>35</v>
      </c>
    </row>
    <row r="34" spans="1:5">
      <c r="A34" t="s">
        <v>37</v>
      </c>
      <c r="B34">
        <v>17</v>
      </c>
    </row>
    <row r="35" spans="1:5">
      <c r="A35" t="s">
        <v>38</v>
      </c>
      <c r="B35">
        <v>17</v>
      </c>
      <c r="E35" t="s">
        <v>39</v>
      </c>
    </row>
    <row r="36" spans="1:5">
      <c r="A36" t="s">
        <v>40</v>
      </c>
      <c r="B36">
        <v>15</v>
      </c>
      <c r="E36" t="s">
        <v>41</v>
      </c>
    </row>
    <row r="37" spans="1:5">
      <c r="A37" t="s">
        <v>42</v>
      </c>
      <c r="B37">
        <v>14</v>
      </c>
    </row>
    <row r="38" spans="1:5">
      <c r="A38" t="s">
        <v>43</v>
      </c>
      <c r="B38">
        <v>11</v>
      </c>
    </row>
    <row r="39" spans="1:5">
      <c r="A39" t="s">
        <v>44</v>
      </c>
      <c r="B39">
        <v>10</v>
      </c>
    </row>
    <row r="40" spans="1:5">
      <c r="A40" t="s">
        <v>45</v>
      </c>
      <c r="B40">
        <v>10</v>
      </c>
    </row>
    <row r="46" spans="1:5">
      <c r="A46" s="45" t="s">
        <v>46</v>
      </c>
    </row>
    <row r="47" spans="1:5">
      <c r="B47" s="49" t="s">
        <v>47</v>
      </c>
      <c r="C47" s="49" t="s">
        <v>16</v>
      </c>
    </row>
    <row r="48" spans="1:5">
      <c r="A48" t="s">
        <v>48</v>
      </c>
      <c r="B48" s="46">
        <v>75693</v>
      </c>
    </row>
    <row r="49" spans="1:3">
      <c r="A49" t="s">
        <v>42</v>
      </c>
      <c r="B49" s="46">
        <v>35095</v>
      </c>
    </row>
    <row r="50" spans="1:3">
      <c r="A50" t="s">
        <v>49</v>
      </c>
      <c r="B50" s="46">
        <v>18958</v>
      </c>
      <c r="C50" s="46">
        <v>18958</v>
      </c>
    </row>
    <row r="51" spans="1:3">
      <c r="A51" t="s">
        <v>50</v>
      </c>
      <c r="B51" s="46">
        <v>11862</v>
      </c>
    </row>
    <row r="52" spans="1:3">
      <c r="A52" t="s">
        <v>51</v>
      </c>
      <c r="B52" s="46"/>
      <c r="C52" s="46">
        <v>10624</v>
      </c>
    </row>
  </sheetData>
  <hyperlinks>
    <hyperlink ref="A2" r:id="rId1" xr:uid="{EFECA6D5-6330-4FCD-8F52-4A68A0F82E0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18733-4018-46F9-9F52-5307C36AB449}">
  <dimension ref="A1:S48"/>
  <sheetViews>
    <sheetView workbookViewId="0">
      <selection activeCell="J3" activeCellId="1" sqref="A3:A8 J3:N8"/>
    </sheetView>
  </sheetViews>
  <sheetFormatPr defaultRowHeight="12.75"/>
  <cols>
    <col min="1" max="1" width="37.5703125" bestFit="1" customWidth="1"/>
    <col min="2" max="2" width="25.85546875" bestFit="1" customWidth="1"/>
    <col min="3" max="3" width="14.42578125" bestFit="1" customWidth="1"/>
    <col min="4" max="4" width="21.42578125" bestFit="1" customWidth="1"/>
    <col min="5" max="5" width="17" bestFit="1" customWidth="1"/>
    <col min="6" max="6" width="21.42578125" style="4" bestFit="1" customWidth="1"/>
    <col min="7" max="7" width="17.85546875" bestFit="1" customWidth="1"/>
    <col min="8" max="8" width="13.7109375" bestFit="1" customWidth="1"/>
    <col min="9" max="9" width="11.140625" bestFit="1" customWidth="1"/>
    <col min="10" max="10" width="17" bestFit="1" customWidth="1"/>
    <col min="11" max="11" width="25.140625" customWidth="1"/>
    <col min="12" max="12" width="2.7109375" customWidth="1"/>
    <col min="13" max="13" width="16" customWidth="1"/>
    <col min="14" max="14" width="23.5703125" bestFit="1" customWidth="1"/>
    <col min="16" max="16" width="13.7109375" bestFit="1" customWidth="1"/>
    <col min="17" max="17" width="17.85546875" bestFit="1" customWidth="1"/>
  </cols>
  <sheetData>
    <row r="1" spans="1:19" ht="15.75">
      <c r="A1" s="22" t="s">
        <v>52</v>
      </c>
    </row>
    <row r="2" spans="1:19" ht="13.5" thickBot="1">
      <c r="A2" t="s">
        <v>53</v>
      </c>
    </row>
    <row r="3" spans="1:19" ht="35.25" customHeight="1" thickBot="1">
      <c r="F3" s="55" t="s">
        <v>54</v>
      </c>
      <c r="G3" s="56"/>
      <c r="H3" s="57"/>
      <c r="K3" s="58" t="s">
        <v>55</v>
      </c>
      <c r="L3" s="59"/>
      <c r="M3" s="59"/>
      <c r="N3" s="60"/>
    </row>
    <row r="4" spans="1:19" ht="48" thickBot="1">
      <c r="A4" s="1"/>
      <c r="B4" s="2" t="s">
        <v>56</v>
      </c>
      <c r="C4" s="2" t="s">
        <v>57</v>
      </c>
      <c r="D4" s="2" t="s">
        <v>54</v>
      </c>
      <c r="F4" s="5" t="s">
        <v>58</v>
      </c>
      <c r="G4" s="2" t="s">
        <v>59</v>
      </c>
      <c r="H4" s="2" t="s">
        <v>60</v>
      </c>
      <c r="K4" s="50" t="s">
        <v>61</v>
      </c>
      <c r="L4" s="50"/>
      <c r="M4" s="50" t="s">
        <v>62</v>
      </c>
      <c r="N4" s="50" t="s">
        <v>63</v>
      </c>
      <c r="P4" s="47" t="s">
        <v>64</v>
      </c>
      <c r="Q4" t="s">
        <v>61</v>
      </c>
    </row>
    <row r="5" spans="1:19" ht="16.5" thickBot="1">
      <c r="A5" s="3" t="s">
        <v>65</v>
      </c>
      <c r="B5" s="37">
        <v>8687</v>
      </c>
      <c r="C5" s="37">
        <v>1778</v>
      </c>
      <c r="D5" s="37">
        <v>6909</v>
      </c>
      <c r="F5" s="37">
        <v>6734</v>
      </c>
      <c r="G5" s="37">
        <v>175</v>
      </c>
      <c r="H5" s="37">
        <f>G5+F5</f>
        <v>6909</v>
      </c>
      <c r="K5" s="51">
        <f>G5+C5</f>
        <v>1953</v>
      </c>
      <c r="L5" s="51"/>
      <c r="M5" s="51">
        <f>'Banked Development'!B7+'Banked Development'!B6</f>
        <v>399</v>
      </c>
      <c r="N5" s="51">
        <f>SUM(K5:M5)</f>
        <v>2352</v>
      </c>
      <c r="P5" s="46">
        <f>'Existing Development 2012-2025'!O6</f>
        <v>49019</v>
      </c>
      <c r="Q5" s="48">
        <f>(K5+K6)/P5</f>
        <v>6.5627613782410901E-2</v>
      </c>
      <c r="R5" s="48">
        <f>(M5+M6)/P5</f>
        <v>8.1397009322915596E-3</v>
      </c>
      <c r="S5" s="48">
        <f>(N5+N6)/P5</f>
        <v>7.3767314714702464E-2</v>
      </c>
    </row>
    <row r="6" spans="1:19" ht="16.5" thickBot="1">
      <c r="A6" s="3" t="s">
        <v>66</v>
      </c>
      <c r="B6" s="37">
        <v>2000</v>
      </c>
      <c r="C6" s="37">
        <v>741</v>
      </c>
      <c r="D6" s="37">
        <v>1259</v>
      </c>
      <c r="F6" s="37">
        <f>G29</f>
        <v>736</v>
      </c>
      <c r="G6" s="37">
        <f>H29</f>
        <v>523</v>
      </c>
      <c r="H6" s="37">
        <f t="shared" ref="H6:H8" si="0">G6+F6</f>
        <v>1259</v>
      </c>
      <c r="K6" s="51">
        <f t="shared" ref="K6:K8" si="1">G6+C6</f>
        <v>1264</v>
      </c>
      <c r="L6" s="51"/>
      <c r="M6" s="51"/>
      <c r="N6" s="51">
        <f t="shared" ref="N6:N8" si="2">SUM(K6:M6)</f>
        <v>1264</v>
      </c>
      <c r="Q6" s="48"/>
      <c r="R6" s="48"/>
      <c r="S6" s="48"/>
    </row>
    <row r="7" spans="1:19" ht="16.5" thickBot="1">
      <c r="A7" s="3" t="s">
        <v>67</v>
      </c>
      <c r="B7" s="37">
        <v>400</v>
      </c>
      <c r="C7" s="37">
        <v>204</v>
      </c>
      <c r="D7" s="37">
        <v>196</v>
      </c>
      <c r="F7" s="37">
        <v>58</v>
      </c>
      <c r="G7" s="37">
        <v>138</v>
      </c>
      <c r="H7" s="37">
        <f t="shared" si="0"/>
        <v>196</v>
      </c>
      <c r="K7" s="51">
        <f t="shared" si="1"/>
        <v>342</v>
      </c>
      <c r="L7" s="51"/>
      <c r="M7" s="51">
        <f>'Banked Development'!B9</f>
        <v>1501</v>
      </c>
      <c r="N7" s="51">
        <f t="shared" si="2"/>
        <v>1843</v>
      </c>
      <c r="P7" s="46">
        <f>'Existing Development 2012-2025'!O7</f>
        <v>10761</v>
      </c>
      <c r="Q7" s="48">
        <f>K7/P7</f>
        <v>3.1781432952327854E-2</v>
      </c>
      <c r="R7" s="48">
        <f>M7/P7</f>
        <v>0.13948517795743889</v>
      </c>
      <c r="S7" s="48">
        <f>N7/P7</f>
        <v>0.17126661090976675</v>
      </c>
    </row>
    <row r="8" spans="1:19" ht="16.5" thickBot="1">
      <c r="A8" s="3" t="s">
        <v>68</v>
      </c>
      <c r="B8" s="37">
        <v>1000000</v>
      </c>
      <c r="C8" s="37">
        <v>488894</v>
      </c>
      <c r="D8" s="37">
        <v>511106</v>
      </c>
      <c r="F8" s="37">
        <v>464144</v>
      </c>
      <c r="G8" s="37">
        <v>46962</v>
      </c>
      <c r="H8" s="37">
        <f t="shared" si="0"/>
        <v>511106</v>
      </c>
      <c r="K8" s="51">
        <f t="shared" si="1"/>
        <v>535856</v>
      </c>
      <c r="L8" s="51"/>
      <c r="M8" s="51">
        <f>'Banked Development'!B8</f>
        <v>326776</v>
      </c>
      <c r="N8" s="51">
        <f t="shared" si="2"/>
        <v>862632</v>
      </c>
      <c r="P8" s="46">
        <f>'Existing Development 2012-2025'!O8</f>
        <v>6583769</v>
      </c>
      <c r="Q8" s="48">
        <f>K8/P8</f>
        <v>8.1390461907153794E-2</v>
      </c>
      <c r="R8" s="48">
        <f>M8/P8</f>
        <v>4.9633576147644305E-2</v>
      </c>
      <c r="S8" s="48">
        <f>N8/P8</f>
        <v>0.13102403805479809</v>
      </c>
    </row>
    <row r="9" spans="1:19" ht="13.5">
      <c r="A9" s="40" t="s">
        <v>69</v>
      </c>
    </row>
    <row r="11" spans="1:19">
      <c r="M11" s="28">
        <f>SUM(K5:M6)</f>
        <v>3616</v>
      </c>
    </row>
    <row r="13" spans="1:19" ht="13.5" thickBot="1"/>
    <row r="14" spans="1:19">
      <c r="A14" s="8" t="s">
        <v>70</v>
      </c>
      <c r="B14" s="9" t="s">
        <v>71</v>
      </c>
      <c r="D14" s="16" t="s">
        <v>57</v>
      </c>
      <c r="E14" s="16" t="s">
        <v>54</v>
      </c>
      <c r="G14" s="16" t="s">
        <v>58</v>
      </c>
      <c r="H14" s="17" t="s">
        <v>59</v>
      </c>
    </row>
    <row r="15" spans="1:19">
      <c r="A15" s="10" t="s">
        <v>72</v>
      </c>
      <c r="B15" s="11">
        <v>1656</v>
      </c>
      <c r="D15" s="6">
        <v>837</v>
      </c>
      <c r="E15" s="6">
        <v>819</v>
      </c>
      <c r="G15" s="6">
        <v>664</v>
      </c>
      <c r="H15" s="11">
        <v>155</v>
      </c>
    </row>
    <row r="16" spans="1:19">
      <c r="A16" s="10" t="s">
        <v>73</v>
      </c>
      <c r="B16" s="11">
        <f>162+12</f>
        <v>174</v>
      </c>
      <c r="D16" s="6">
        <f>142+12</f>
        <v>154</v>
      </c>
      <c r="E16" s="6">
        <v>20</v>
      </c>
      <c r="G16" s="6">
        <v>17</v>
      </c>
      <c r="H16" s="11">
        <v>3</v>
      </c>
    </row>
    <row r="17" spans="1:10">
      <c r="A17" s="10" t="s">
        <v>74</v>
      </c>
      <c r="B17" s="11">
        <v>770</v>
      </c>
      <c r="D17" s="6">
        <v>770</v>
      </c>
      <c r="E17" s="6"/>
      <c r="G17" s="6"/>
      <c r="H17" s="11"/>
    </row>
    <row r="18" spans="1:10">
      <c r="A18" s="10"/>
      <c r="B18" s="12">
        <f>SUM(B15:B17)</f>
        <v>2600</v>
      </c>
      <c r="D18" s="7">
        <f>SUM(D15:D17)</f>
        <v>1761</v>
      </c>
      <c r="E18" s="7">
        <f t="shared" ref="E18:H18" si="3">SUM(E15:E17)</f>
        <v>839</v>
      </c>
      <c r="G18" s="7">
        <f t="shared" si="3"/>
        <v>681</v>
      </c>
      <c r="H18" s="12">
        <f t="shared" si="3"/>
        <v>158</v>
      </c>
    </row>
    <row r="19" spans="1:10">
      <c r="A19" s="13"/>
      <c r="B19" s="11"/>
      <c r="D19" s="6"/>
      <c r="E19" s="6"/>
      <c r="G19" s="6"/>
      <c r="H19" s="11"/>
    </row>
    <row r="20" spans="1:10">
      <c r="A20" s="13" t="s">
        <v>75</v>
      </c>
      <c r="B20" s="12">
        <v>6087</v>
      </c>
      <c r="D20" s="7">
        <v>17</v>
      </c>
      <c r="E20" s="7">
        <v>6070</v>
      </c>
      <c r="G20" s="7">
        <v>6053</v>
      </c>
      <c r="H20" s="12">
        <v>17</v>
      </c>
    </row>
    <row r="21" spans="1:10">
      <c r="A21" s="13"/>
      <c r="B21" s="11"/>
      <c r="D21" s="6"/>
      <c r="E21" s="6"/>
      <c r="G21" s="6"/>
      <c r="H21" s="11"/>
    </row>
    <row r="22" spans="1:10" ht="13.5" thickBot="1">
      <c r="A22" s="14" t="s">
        <v>76</v>
      </c>
      <c r="B22" s="15">
        <f>SUM(B18:B20)</f>
        <v>8687</v>
      </c>
      <c r="D22" s="21">
        <f>SUM(D18:D20)</f>
        <v>1778</v>
      </c>
      <c r="E22" s="21">
        <f>SUM(E18:E20)</f>
        <v>6909</v>
      </c>
      <c r="G22" s="21">
        <f t="shared" ref="G22:H22" si="4">SUM(G18:G20)</f>
        <v>6734</v>
      </c>
      <c r="H22" s="15">
        <f t="shared" si="4"/>
        <v>175</v>
      </c>
    </row>
    <row r="24" spans="1:10" ht="13.5" thickBot="1"/>
    <row r="25" spans="1:10">
      <c r="A25" s="8" t="s">
        <v>77</v>
      </c>
      <c r="B25" s="9" t="s">
        <v>78</v>
      </c>
      <c r="D25" s="16" t="s">
        <v>57</v>
      </c>
      <c r="E25" s="16" t="s">
        <v>54</v>
      </c>
      <c r="G25" s="16" t="s">
        <v>58</v>
      </c>
      <c r="H25" s="17" t="s">
        <v>59</v>
      </c>
    </row>
    <row r="26" spans="1:10">
      <c r="A26" s="10" t="s">
        <v>72</v>
      </c>
      <c r="B26" s="11">
        <v>565</v>
      </c>
      <c r="D26" s="6">
        <v>238</v>
      </c>
      <c r="E26" s="6">
        <f>B26-D26</f>
        <v>327</v>
      </c>
      <c r="G26" s="6">
        <v>230</v>
      </c>
      <c r="H26" s="11">
        <f>83+14</f>
        <v>97</v>
      </c>
      <c r="J26" t="s">
        <v>79</v>
      </c>
    </row>
    <row r="27" spans="1:10">
      <c r="A27" s="10" t="s">
        <v>73</v>
      </c>
      <c r="B27" s="11">
        <v>1435</v>
      </c>
      <c r="D27" s="6">
        <f>502+1</f>
        <v>503</v>
      </c>
      <c r="E27" s="6">
        <f>B27-D27</f>
        <v>932</v>
      </c>
      <c r="G27" s="6">
        <f>311+195</f>
        <v>506</v>
      </c>
      <c r="H27" s="11">
        <f>419+8-1</f>
        <v>426</v>
      </c>
      <c r="J27" t="s">
        <v>80</v>
      </c>
    </row>
    <row r="28" spans="1:10">
      <c r="A28" s="13"/>
      <c r="B28" s="11"/>
      <c r="D28" s="6"/>
      <c r="E28" s="6"/>
      <c r="G28" s="6"/>
      <c r="H28" s="11"/>
    </row>
    <row r="29" spans="1:10" ht="13.5" thickBot="1">
      <c r="A29" s="14" t="s">
        <v>76</v>
      </c>
      <c r="B29" s="15">
        <v>2000</v>
      </c>
      <c r="D29" s="21">
        <f>SUM(D26:D28)</f>
        <v>741</v>
      </c>
      <c r="E29" s="21">
        <f>1259</f>
        <v>1259</v>
      </c>
      <c r="G29" s="21">
        <f>SUM(G26:G28)</f>
        <v>736</v>
      </c>
      <c r="H29" s="15">
        <f>SUM(H26:H28)</f>
        <v>523</v>
      </c>
      <c r="J29" t="s">
        <v>81</v>
      </c>
    </row>
    <row r="31" spans="1:10" ht="13.5" thickBot="1"/>
    <row r="32" spans="1:10">
      <c r="A32" s="8" t="s">
        <v>82</v>
      </c>
      <c r="B32" s="9" t="s">
        <v>83</v>
      </c>
      <c r="D32" s="16" t="s">
        <v>57</v>
      </c>
      <c r="E32" s="16" t="s">
        <v>54</v>
      </c>
      <c r="G32" s="16" t="s">
        <v>58</v>
      </c>
      <c r="H32" s="17" t="s">
        <v>59</v>
      </c>
    </row>
    <row r="33" spans="1:10">
      <c r="A33" s="10" t="s">
        <v>72</v>
      </c>
      <c r="B33" s="11">
        <v>160</v>
      </c>
      <c r="D33" s="6">
        <v>130</v>
      </c>
      <c r="E33" s="6">
        <v>30</v>
      </c>
      <c r="G33" s="6">
        <v>30</v>
      </c>
      <c r="H33" s="11">
        <v>0</v>
      </c>
    </row>
    <row r="34" spans="1:10">
      <c r="A34" s="10" t="s">
        <v>73</v>
      </c>
      <c r="B34" s="11">
        <v>240</v>
      </c>
      <c r="D34" s="6">
        <v>74</v>
      </c>
      <c r="E34" s="6">
        <v>166</v>
      </c>
      <c r="G34" s="6">
        <v>28</v>
      </c>
      <c r="H34" s="11">
        <v>138</v>
      </c>
      <c r="I34" s="28"/>
      <c r="J34" t="s">
        <v>84</v>
      </c>
    </row>
    <row r="35" spans="1:10">
      <c r="A35" s="13"/>
      <c r="B35" s="11"/>
      <c r="D35" s="6"/>
      <c r="E35" s="6"/>
      <c r="G35" s="6"/>
      <c r="H35" s="11"/>
    </row>
    <row r="36" spans="1:10" ht="13.5" thickBot="1">
      <c r="A36" s="14" t="s">
        <v>76</v>
      </c>
      <c r="B36" s="15">
        <v>400</v>
      </c>
      <c r="D36" s="21">
        <f>SUM(D33:D35)</f>
        <v>204</v>
      </c>
      <c r="E36" s="21">
        <v>196</v>
      </c>
      <c r="G36" s="21">
        <f>SUM(G33:G35)</f>
        <v>58</v>
      </c>
      <c r="H36" s="15">
        <f>SUM(H33:H35)</f>
        <v>138</v>
      </c>
    </row>
    <row r="38" spans="1:10" ht="13.5" thickBot="1">
      <c r="B38" s="28"/>
    </row>
    <row r="39" spans="1:10">
      <c r="A39" s="8" t="s">
        <v>85</v>
      </c>
      <c r="B39" s="9" t="s">
        <v>86</v>
      </c>
      <c r="D39" s="16" t="s">
        <v>57</v>
      </c>
      <c r="E39" s="16" t="s">
        <v>54</v>
      </c>
      <c r="G39" s="39" t="s">
        <v>58</v>
      </c>
      <c r="H39" s="17" t="s">
        <v>59</v>
      </c>
    </row>
    <row r="40" spans="1:10">
      <c r="A40" s="10" t="s">
        <v>72</v>
      </c>
      <c r="B40" s="11">
        <v>550000</v>
      </c>
      <c r="D40" s="6">
        <v>151703</v>
      </c>
      <c r="E40" s="6">
        <v>398297</v>
      </c>
      <c r="F40" s="38"/>
      <c r="G40" s="18">
        <v>374572</v>
      </c>
      <c r="H40" s="11">
        <v>23725</v>
      </c>
    </row>
    <row r="41" spans="1:10">
      <c r="A41" s="10" t="s">
        <v>73</v>
      </c>
      <c r="B41" s="11">
        <v>250000</v>
      </c>
      <c r="D41" s="6">
        <v>137191</v>
      </c>
      <c r="E41" s="6">
        <v>112809</v>
      </c>
      <c r="G41" s="18">
        <v>89572</v>
      </c>
      <c r="H41" s="11">
        <v>23237</v>
      </c>
      <c r="J41" t="s">
        <v>87</v>
      </c>
    </row>
    <row r="42" spans="1:10">
      <c r="A42" s="10" t="s">
        <v>74</v>
      </c>
      <c r="B42" s="11">
        <v>200000</v>
      </c>
      <c r="D42" s="6">
        <v>200000</v>
      </c>
      <c r="E42" s="6">
        <v>0</v>
      </c>
      <c r="G42" s="18">
        <v>0</v>
      </c>
      <c r="H42" s="11">
        <v>0</v>
      </c>
    </row>
    <row r="43" spans="1:10">
      <c r="A43" s="10"/>
      <c r="B43" s="12"/>
      <c r="D43" s="7"/>
      <c r="E43" s="7"/>
      <c r="G43" s="19"/>
      <c r="H43" s="12"/>
    </row>
    <row r="44" spans="1:10" ht="13.5" thickBot="1">
      <c r="A44" s="14" t="s">
        <v>76</v>
      </c>
      <c r="B44" s="15">
        <f>SUM(B40:B43)</f>
        <v>1000000</v>
      </c>
      <c r="D44" s="21">
        <f>SUM(D40:D43)</f>
        <v>488894</v>
      </c>
      <c r="E44" s="21">
        <f>SUM(E40:E43)</f>
        <v>511106</v>
      </c>
      <c r="G44" s="20">
        <f>SUM(G40:G43)</f>
        <v>464144</v>
      </c>
      <c r="H44" s="15">
        <f>SUM(H40:H43)</f>
        <v>46962</v>
      </c>
    </row>
    <row r="48" spans="1:10">
      <c r="F48" s="38"/>
    </row>
  </sheetData>
  <mergeCells count="2">
    <mergeCell ref="F3:H3"/>
    <mergeCell ref="K3:N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985CE-6C87-461A-9D9E-FF2FF4D650EA}">
  <dimension ref="A1:K38"/>
  <sheetViews>
    <sheetView workbookViewId="0">
      <selection activeCell="B10" sqref="B10"/>
    </sheetView>
  </sheetViews>
  <sheetFormatPr defaultRowHeight="12.75"/>
  <cols>
    <col min="1" max="1" width="83.85546875" bestFit="1" customWidth="1"/>
    <col min="2" max="2" width="20.85546875" customWidth="1"/>
    <col min="9" max="9" width="20.140625" bestFit="1" customWidth="1"/>
    <col min="10" max="10" width="23.5703125" bestFit="1" customWidth="1"/>
  </cols>
  <sheetData>
    <row r="1" spans="1:11" ht="23.25">
      <c r="A1" s="23" t="s">
        <v>88</v>
      </c>
    </row>
    <row r="2" spans="1:11">
      <c r="A2" s="24" t="s">
        <v>89</v>
      </c>
      <c r="B2" s="24"/>
    </row>
    <row r="3" spans="1:11">
      <c r="A3" s="36">
        <v>46134</v>
      </c>
    </row>
    <row r="5" spans="1:11">
      <c r="A5" t="s">
        <v>90</v>
      </c>
    </row>
    <row r="6" spans="1:11" ht="13.5" thickBot="1"/>
    <row r="7" spans="1:11">
      <c r="A7" s="26" t="s">
        <v>65</v>
      </c>
      <c r="B7" s="9" t="s">
        <v>91</v>
      </c>
      <c r="I7" s="53" t="s">
        <v>92</v>
      </c>
      <c r="J7" t="s">
        <v>93</v>
      </c>
      <c r="K7" t="s">
        <v>94</v>
      </c>
    </row>
    <row r="8" spans="1:11">
      <c r="A8" s="27" t="s">
        <v>95</v>
      </c>
      <c r="B8" s="25">
        <v>154</v>
      </c>
      <c r="C8" t="s">
        <v>96</v>
      </c>
      <c r="I8" t="s">
        <v>97</v>
      </c>
      <c r="J8">
        <v>181</v>
      </c>
    </row>
    <row r="9" spans="1:11">
      <c r="A9" s="27" t="s">
        <v>98</v>
      </c>
      <c r="B9" s="25">
        <v>837</v>
      </c>
      <c r="I9" t="s">
        <v>99</v>
      </c>
      <c r="J9">
        <v>93</v>
      </c>
    </row>
    <row r="10" spans="1:11">
      <c r="A10" s="34"/>
      <c r="B10" s="35"/>
      <c r="I10" t="s">
        <v>100</v>
      </c>
      <c r="J10">
        <v>98</v>
      </c>
    </row>
    <row r="11" spans="1:11">
      <c r="A11" s="32" t="s">
        <v>101</v>
      </c>
      <c r="B11" s="33">
        <v>770</v>
      </c>
      <c r="I11" t="s">
        <v>102</v>
      </c>
      <c r="J11">
        <v>342</v>
      </c>
    </row>
    <row r="12" spans="1:11">
      <c r="A12" s="29"/>
      <c r="B12" s="30"/>
      <c r="I12" t="s">
        <v>103</v>
      </c>
      <c r="J12">
        <v>123</v>
      </c>
    </row>
    <row r="13" spans="1:11" ht="15.75" thickBot="1">
      <c r="A13" s="31" t="s">
        <v>104</v>
      </c>
      <c r="B13" s="15">
        <f>B8+B9+B11</f>
        <v>1761</v>
      </c>
      <c r="I13" s="54" t="s">
        <v>105</v>
      </c>
      <c r="J13" s="54">
        <f>SUM(J8:J12)</f>
        <v>837</v>
      </c>
    </row>
    <row r="17" spans="1:2" ht="13.5" thickBot="1"/>
    <row r="18" spans="1:2">
      <c r="A18" s="26" t="s">
        <v>66</v>
      </c>
      <c r="B18" s="9" t="s">
        <v>91</v>
      </c>
    </row>
    <row r="19" spans="1:2">
      <c r="A19" s="27" t="s">
        <v>95</v>
      </c>
      <c r="B19" s="25">
        <v>503</v>
      </c>
    </row>
    <row r="20" spans="1:2">
      <c r="A20" s="27" t="s">
        <v>98</v>
      </c>
      <c r="B20" s="25">
        <v>238</v>
      </c>
    </row>
    <row r="21" spans="1:2">
      <c r="A21" s="29"/>
      <c r="B21" s="30"/>
    </row>
    <row r="22" spans="1:2" ht="13.5" thickBot="1">
      <c r="A22" s="31" t="s">
        <v>106</v>
      </c>
      <c r="B22" s="15">
        <f>B19+B20</f>
        <v>741</v>
      </c>
    </row>
    <row r="24" spans="1:2" ht="13.5" thickBot="1"/>
    <row r="25" spans="1:2">
      <c r="A25" s="26" t="s">
        <v>5</v>
      </c>
      <c r="B25" s="9" t="s">
        <v>91</v>
      </c>
    </row>
    <row r="26" spans="1:2">
      <c r="A26" s="27" t="s">
        <v>95</v>
      </c>
      <c r="B26" s="25">
        <v>137191</v>
      </c>
    </row>
    <row r="27" spans="1:2">
      <c r="A27" s="27" t="s">
        <v>98</v>
      </c>
      <c r="B27" s="25">
        <v>151703</v>
      </c>
    </row>
    <row r="28" spans="1:2">
      <c r="A28" s="34"/>
      <c r="B28" s="35"/>
    </row>
    <row r="29" spans="1:2">
      <c r="A29" s="32" t="s">
        <v>101</v>
      </c>
      <c r="B29" s="33">
        <v>200000</v>
      </c>
    </row>
    <row r="30" spans="1:2">
      <c r="A30" s="29"/>
      <c r="B30" s="30"/>
    </row>
    <row r="31" spans="1:2" ht="13.5" thickBot="1">
      <c r="A31" s="31" t="s">
        <v>104</v>
      </c>
      <c r="B31" s="15">
        <f>B26+B27+B29</f>
        <v>488894</v>
      </c>
    </row>
    <row r="33" spans="1:2" ht="13.5" thickBot="1"/>
    <row r="34" spans="1:2">
      <c r="A34" s="26" t="s">
        <v>67</v>
      </c>
      <c r="B34" s="9" t="s">
        <v>91</v>
      </c>
    </row>
    <row r="35" spans="1:2">
      <c r="A35" s="27" t="s">
        <v>95</v>
      </c>
      <c r="B35" s="25">
        <v>74</v>
      </c>
    </row>
    <row r="36" spans="1:2">
      <c r="A36" s="27" t="s">
        <v>98</v>
      </c>
      <c r="B36" s="25">
        <v>130</v>
      </c>
    </row>
    <row r="37" spans="1:2">
      <c r="A37" s="29"/>
      <c r="B37" s="30"/>
    </row>
    <row r="38" spans="1:2" ht="13.5" thickBot="1">
      <c r="A38" s="31" t="s">
        <v>106</v>
      </c>
      <c r="B38" s="15">
        <f>B35+B36</f>
        <v>204</v>
      </c>
    </row>
  </sheetData>
  <hyperlinks>
    <hyperlink ref="A2" r:id="rId1" xr:uid="{336ED71A-A8A7-4B00-8F74-656CD38871E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Kenneth Kasman</dc:creator>
  <cp:keywords/>
  <dc:description/>
  <cp:lastModifiedBy/>
  <cp:revision/>
  <dcterms:created xsi:type="dcterms:W3CDTF">2026-03-25T23:17:58Z</dcterms:created>
  <dcterms:modified xsi:type="dcterms:W3CDTF">2026-05-01T05:33:57Z</dcterms:modified>
  <cp:category/>
  <cp:contentStatus/>
</cp:coreProperties>
</file>