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hoeregionalplanning-my.sharepoint.com/personal/kkasman_trpa_org/Documents/"/>
    </mc:Choice>
  </mc:AlternateContent>
  <xr:revisionPtr revIDLastSave="0" documentId="8_{1D47420C-E29A-45E2-966A-69D43C22B3CA}" xr6:coauthVersionLast="47" xr6:coauthVersionMax="47" xr10:uidLastSave="{00000000-0000-0000-0000-000000000000}"/>
  <bookViews>
    <workbookView xWindow="1935" yWindow="2130" windowWidth="27000" windowHeight="10935" xr2:uid="{1D12326A-AC44-4BA0-9C85-8F7594CD5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3" i="1"/>
  <c r="H12" i="1"/>
  <c r="H11" i="1"/>
  <c r="H10" i="1"/>
  <c r="H6" i="1"/>
  <c r="H4" i="1"/>
  <c r="H3" i="1"/>
  <c r="H5" i="1"/>
</calcChain>
</file>

<file path=xl/sharedStrings.xml><?xml version="1.0" encoding="utf-8"?>
<sst xmlns="http://schemas.openxmlformats.org/spreadsheetml/2006/main" count="33" uniqueCount="13">
  <si>
    <t>Grand Total</t>
  </si>
  <si>
    <t>Total authorized</t>
  </si>
  <si>
    <t>Allocated to private development</t>
  </si>
  <si>
    <t>Jurisdiction pool</t>
  </si>
  <si>
    <t>TRPA pool</t>
  </si>
  <si>
    <t>Unreleased</t>
  </si>
  <si>
    <t>Residential allocations</t>
  </si>
  <si>
    <t>Residential bonus units</t>
  </si>
  <si>
    <t>Commercial floor area</t>
  </si>
  <si>
    <t>Tourist accommodation</t>
  </si>
  <si>
    <t>Source: 1987 Regional Plan</t>
  </si>
  <si>
    <t>Source: 2012 Regional Plan</t>
  </si>
  <si>
    <t>TotalBalanceRemaining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</si>
</sst>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D0D5-CFAA-4E2B-A8AB-F4BD3787CE13}">
  <dimension ref="A2:H20"/>
  <sheetViews>
    <sheetView tabSelected="1" workbookViewId="0">
      <selection activeCell="K10" sqref="K10"/>
    </sheetView>
  </sheetViews>
  <sheetFormatPr defaultRowHeight="13.8" x14ac:dyDescent="0.3"/>
  <cols>
    <col min="1" max="1" width="22.33203125" bestFit="1" customWidth="1"/>
    <col min="2" max="2" width="13.77734375" bestFit="1" customWidth="1"/>
    <col min="3" max="3" width="27.33203125" bestFit="1" customWidth="1"/>
    <col min="4" max="4" width="14" bestFit="1" customWidth="1"/>
    <col min="6" max="6" width="9.6640625" bestFit="1" customWidth="1"/>
  </cols>
  <sheetData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12</v>
      </c>
    </row>
    <row r="3" spans="1:8" x14ac:dyDescent="0.3">
      <c r="A3" t="s">
        <v>6</v>
      </c>
      <c r="B3">
        <v>8687</v>
      </c>
      <c r="C3">
        <v>6909</v>
      </c>
      <c r="D3">
        <v>854</v>
      </c>
      <c r="E3">
        <v>154</v>
      </c>
      <c r="F3">
        <v>770</v>
      </c>
      <c r="H3">
        <f t="shared" ref="H3:H6" si="0">SUM(D3:F3)</f>
        <v>1778</v>
      </c>
    </row>
    <row r="4" spans="1:8" x14ac:dyDescent="0.3">
      <c r="A4" t="s">
        <v>7</v>
      </c>
      <c r="B4">
        <v>2000</v>
      </c>
      <c r="C4">
        <v>1260</v>
      </c>
      <c r="D4">
        <v>238</v>
      </c>
      <c r="E4">
        <v>502</v>
      </c>
      <c r="F4">
        <v>0</v>
      </c>
      <c r="H4">
        <f t="shared" si="0"/>
        <v>740</v>
      </c>
    </row>
    <row r="5" spans="1:8" x14ac:dyDescent="0.3">
      <c r="A5" t="s">
        <v>8</v>
      </c>
      <c r="B5">
        <v>1000000</v>
      </c>
      <c r="C5">
        <v>511106</v>
      </c>
      <c r="D5">
        <v>151703</v>
      </c>
      <c r="E5">
        <v>137191</v>
      </c>
      <c r="F5">
        <v>200000</v>
      </c>
      <c r="H5">
        <f>SUM(D5:F5)</f>
        <v>488894</v>
      </c>
    </row>
    <row r="6" spans="1:8" x14ac:dyDescent="0.3">
      <c r="A6" t="s">
        <v>9</v>
      </c>
      <c r="B6">
        <v>400</v>
      </c>
      <c r="C6">
        <v>196</v>
      </c>
      <c r="D6">
        <v>130</v>
      </c>
      <c r="E6">
        <v>74</v>
      </c>
      <c r="F6">
        <v>0</v>
      </c>
      <c r="H6">
        <f t="shared" ref="H6" si="1">SUM(D6:F6)</f>
        <v>204</v>
      </c>
    </row>
    <row r="9" spans="1:8" x14ac:dyDescent="0.3">
      <c r="A9" t="s">
        <v>10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H9" t="s">
        <v>12</v>
      </c>
    </row>
    <row r="10" spans="1:8" x14ac:dyDescent="0.3">
      <c r="A10" t="s">
        <v>6</v>
      </c>
      <c r="B10">
        <v>6087</v>
      </c>
      <c r="C10">
        <v>6070</v>
      </c>
      <c r="D10">
        <v>17</v>
      </c>
      <c r="E10">
        <v>0</v>
      </c>
      <c r="F10">
        <v>0</v>
      </c>
      <c r="H10">
        <f t="shared" ref="H10:H13" si="2">SUM(D10:F10)</f>
        <v>17</v>
      </c>
    </row>
    <row r="11" spans="1:8" x14ac:dyDescent="0.3">
      <c r="A11" t="s">
        <v>7</v>
      </c>
      <c r="B11">
        <v>1400</v>
      </c>
      <c r="C11">
        <v>1042</v>
      </c>
      <c r="D11">
        <v>238</v>
      </c>
      <c r="E11">
        <v>120</v>
      </c>
      <c r="F11">
        <v>0</v>
      </c>
      <c r="H11">
        <f t="shared" si="2"/>
        <v>358</v>
      </c>
    </row>
    <row r="12" spans="1:8" x14ac:dyDescent="0.3">
      <c r="A12" t="s">
        <v>8</v>
      </c>
      <c r="B12">
        <v>800000</v>
      </c>
      <c r="C12">
        <v>511106</v>
      </c>
      <c r="D12">
        <v>151703</v>
      </c>
      <c r="E12">
        <v>137191</v>
      </c>
      <c r="F12">
        <v>0</v>
      </c>
      <c r="H12">
        <f t="shared" si="2"/>
        <v>288894</v>
      </c>
    </row>
    <row r="13" spans="1:8" x14ac:dyDescent="0.3">
      <c r="A13" t="s">
        <v>9</v>
      </c>
      <c r="B13">
        <v>400</v>
      </c>
      <c r="C13">
        <v>196</v>
      </c>
      <c r="D13">
        <v>130</v>
      </c>
      <c r="E13">
        <v>74</v>
      </c>
      <c r="F13">
        <v>0</v>
      </c>
      <c r="H13">
        <f t="shared" si="2"/>
        <v>204</v>
      </c>
    </row>
    <row r="16" spans="1:8" x14ac:dyDescent="0.3">
      <c r="A16" t="s">
        <v>11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H16" t="s">
        <v>12</v>
      </c>
    </row>
    <row r="17" spans="1:8" x14ac:dyDescent="0.3">
      <c r="A17" t="s">
        <v>6</v>
      </c>
      <c r="B17">
        <v>2600</v>
      </c>
      <c r="C17">
        <v>839</v>
      </c>
      <c r="D17">
        <v>837</v>
      </c>
      <c r="E17">
        <v>154</v>
      </c>
      <c r="F17">
        <v>770</v>
      </c>
      <c r="H17">
        <f t="shared" ref="H17:H20" si="3">SUM(D17:F17)</f>
        <v>1761</v>
      </c>
    </row>
    <row r="18" spans="1:8" x14ac:dyDescent="0.3">
      <c r="A18" t="s">
        <v>7</v>
      </c>
      <c r="B18">
        <v>600</v>
      </c>
      <c r="C18">
        <v>218</v>
      </c>
      <c r="D18">
        <v>0</v>
      </c>
      <c r="E18">
        <v>382</v>
      </c>
      <c r="H18">
        <f t="shared" si="3"/>
        <v>382</v>
      </c>
    </row>
    <row r="19" spans="1:8" x14ac:dyDescent="0.3">
      <c r="A19" t="s">
        <v>8</v>
      </c>
      <c r="B19">
        <v>200000</v>
      </c>
      <c r="C19">
        <v>0</v>
      </c>
      <c r="D19">
        <v>0</v>
      </c>
      <c r="E19">
        <v>0</v>
      </c>
      <c r="F19">
        <v>200000</v>
      </c>
      <c r="H19">
        <f t="shared" si="3"/>
        <v>200000</v>
      </c>
    </row>
    <row r="20" spans="1:8" x14ac:dyDescent="0.3">
      <c r="A20" t="s">
        <v>9</v>
      </c>
      <c r="B20">
        <v>0</v>
      </c>
      <c r="C20">
        <v>0</v>
      </c>
      <c r="D20">
        <v>0</v>
      </c>
      <c r="E20">
        <v>0</v>
      </c>
      <c r="F20">
        <v>0</v>
      </c>
      <c r="H20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Kasman</dc:creator>
  <cp:lastModifiedBy>Kenneth Kasman</cp:lastModifiedBy>
  <dcterms:created xsi:type="dcterms:W3CDTF">2026-05-15T19:57:31Z</dcterms:created>
  <dcterms:modified xsi:type="dcterms:W3CDTF">2026-05-15T20:04:42Z</dcterms:modified>
</cp:coreProperties>
</file>